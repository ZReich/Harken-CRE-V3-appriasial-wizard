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Brenda McNaney\NAI Dropbox\Brenda McNaney\ROVE Appraisal\Harken Templates\"/>
    </mc:Choice>
  </mc:AlternateContent>
  <xr:revisionPtr revIDLastSave="0" documentId="13_ncr:1_{4BA2442A-1F45-4C10-B07B-CBEC61B2101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" l="1"/>
  <c r="C13" i="1"/>
  <c r="E9" i="1"/>
  <c r="E15" i="1" s="1"/>
  <c r="E23" i="1" s="1"/>
  <c r="F9" i="1"/>
  <c r="D13" i="1"/>
  <c r="E13" i="1"/>
  <c r="F13" i="1"/>
  <c r="F14" i="1" s="1"/>
  <c r="F15" i="1" s="1"/>
  <c r="F23" i="1" s="1"/>
  <c r="D14" i="1"/>
  <c r="E14" i="1"/>
  <c r="D15" i="1"/>
  <c r="D23" i="1" s="1"/>
  <c r="C14" i="1" l="1"/>
  <c r="C15" i="1" s="1"/>
  <c r="C23" i="1" l="1"/>
  <c r="B26" i="1" l="1"/>
  <c r="B27" i="1"/>
  <c r="B23" i="1"/>
  <c r="B31" i="1"/>
  <c r="B29" i="1"/>
  <c r="B30" i="1" l="1"/>
</calcChain>
</file>

<file path=xl/sharedStrings.xml><?xml version="1.0" encoding="utf-8"?>
<sst xmlns="http://schemas.openxmlformats.org/spreadsheetml/2006/main" count="124" uniqueCount="59">
  <si>
    <t>Subject</t>
  </si>
  <si>
    <t>Sale 2</t>
  </si>
  <si>
    <t>Sale 3</t>
  </si>
  <si>
    <t>Sale 4</t>
  </si>
  <si>
    <t>Financing:</t>
  </si>
  <si>
    <t>Cond. Sale:</t>
  </si>
  <si>
    <t>Address:</t>
  </si>
  <si>
    <t>Sales Price:</t>
  </si>
  <si>
    <t>H &amp; B Use:</t>
  </si>
  <si>
    <t>N/A</t>
  </si>
  <si>
    <t>Typical</t>
  </si>
  <si>
    <t>Current</t>
  </si>
  <si>
    <t>Cash to Seller</t>
  </si>
  <si>
    <t>Similar</t>
  </si>
  <si>
    <t>Year Built:</t>
  </si>
  <si>
    <t>Effective Age:</t>
  </si>
  <si>
    <t>Location:</t>
  </si>
  <si>
    <t>Improved Sales Chart</t>
  </si>
  <si>
    <t>CAP  Rate:</t>
  </si>
  <si>
    <t>Date of Sale:</t>
  </si>
  <si>
    <t>Adj. Price/SF:</t>
  </si>
  <si>
    <t>Qual./Cond.:</t>
  </si>
  <si>
    <t>$/SF Bldg.:</t>
  </si>
  <si>
    <t>Superior</t>
  </si>
  <si>
    <t>Bldg. Size/SF:</t>
  </si>
  <si>
    <t>Inferior</t>
  </si>
  <si>
    <t>Element</t>
  </si>
  <si>
    <t>Sale 1</t>
  </si>
  <si>
    <t>Overall Comparability</t>
  </si>
  <si>
    <t>Good</t>
  </si>
  <si>
    <t>-</t>
  </si>
  <si>
    <t>Site Covr. Ratio:</t>
  </si>
  <si>
    <t>Adjustment:</t>
  </si>
  <si>
    <t>Site Size/SF:</t>
  </si>
  <si>
    <t>Aver./Aver.</t>
  </si>
  <si>
    <t>Market Cond.:</t>
  </si>
  <si>
    <t>Retail</t>
  </si>
  <si>
    <t>Fee Simple</t>
  </si>
  <si>
    <t>Prop. Rights:</t>
  </si>
  <si>
    <t>20 yrs.</t>
  </si>
  <si>
    <t>Good/Good</t>
  </si>
  <si>
    <t>Land Value:</t>
  </si>
  <si>
    <t>Building Value:</t>
  </si>
  <si>
    <t>02-2022</t>
  </si>
  <si>
    <t>05-2022</t>
  </si>
  <si>
    <t>15 yrs.</t>
  </si>
  <si>
    <t>1975/R2018</t>
  </si>
  <si>
    <t>08-2022</t>
  </si>
  <si>
    <t>Retail/Restaurant</t>
  </si>
  <si>
    <t>1211 East Main Street, Bozeman</t>
  </si>
  <si>
    <t>602 West Hemlock St., Bozeman</t>
  </si>
  <si>
    <t>702 East Main Street, Bozeman</t>
  </si>
  <si>
    <t>1940/1942 West Main St., Bozeman</t>
  </si>
  <si>
    <t>08-2023</t>
  </si>
  <si>
    <t>203 North 7th Ave., Bozeman</t>
  </si>
  <si>
    <t>Leased Fee</t>
  </si>
  <si>
    <t>1972/R2012</t>
  </si>
  <si>
    <t>Multi-Tenant Retail</t>
  </si>
  <si>
    <t>Multi-Tenant Retail/Restaurant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</si>
</sst>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</numFmts>
  <fonts count="13">
    <font>
      <sz val="12"/>
      <color theme="1"/>
      <name val="Calibri"/>
      <family val="2"/>
      <charset val="136"/>
      <scheme val="minor"/>
    </font>
    <font>
      <sz val="9"/>
      <color theme="1"/>
      <name val="Times New Roman"/>
      <family val="1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Calibri"/>
      <family val="2"/>
      <charset val="136"/>
      <scheme val="minor"/>
    </font>
    <font>
      <b/>
      <u/>
      <sz val="10"/>
      <color theme="1"/>
      <name val="Times New Roman"/>
      <family val="1"/>
    </font>
    <font>
      <sz val="10"/>
      <color theme="1"/>
      <name val="Calibri"/>
      <family val="2"/>
      <charset val="134"/>
      <scheme val="minor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9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67">
    <xf numFmtId="0" fontId="0" fillId="0" borderId="0" xfId="0"/>
    <xf numFmtId="0" fontId="1" fillId="0" borderId="0" xfId="0" applyFont="1" applyAlignment="1">
      <alignment horizontal="right"/>
    </xf>
    <xf numFmtId="0" fontId="0" fillId="2" borderId="0" xfId="0" applyFill="1"/>
    <xf numFmtId="0" fontId="0" fillId="3" borderId="0" xfId="0" applyFill="1"/>
    <xf numFmtId="49" fontId="7" fillId="0" borderId="4" xfId="0" applyNumberFormat="1" applyFont="1" applyBorder="1" applyAlignment="1">
      <alignment horizontal="right"/>
    </xf>
    <xf numFmtId="0" fontId="7" fillId="0" borderId="4" xfId="0" applyFont="1" applyBorder="1" applyAlignment="1">
      <alignment horizontal="right" wrapText="1"/>
    </xf>
    <xf numFmtId="0" fontId="7" fillId="0" borderId="4" xfId="0" applyFont="1" applyBorder="1" applyAlignment="1">
      <alignment horizontal="right"/>
    </xf>
    <xf numFmtId="6" fontId="7" fillId="0" borderId="4" xfId="0" applyNumberFormat="1" applyFont="1" applyBorder="1" applyAlignment="1">
      <alignment horizontal="right"/>
    </xf>
    <xf numFmtId="3" fontId="7" fillId="0" borderId="4" xfId="0" applyNumberFormat="1" applyFont="1" applyBorder="1" applyAlignment="1">
      <alignment horizontal="right"/>
    </xf>
    <xf numFmtId="8" fontId="6" fillId="0" borderId="4" xfId="0" applyNumberFormat="1" applyFont="1" applyBorder="1" applyAlignment="1">
      <alignment horizontal="right"/>
    </xf>
    <xf numFmtId="10" fontId="7" fillId="0" borderId="4" xfId="0" applyNumberFormat="1" applyFont="1" applyBorder="1" applyAlignment="1">
      <alignment horizontal="right"/>
    </xf>
    <xf numFmtId="0" fontId="10" fillId="0" borderId="3" xfId="0" applyFont="1" applyBorder="1" applyAlignment="1">
      <alignment horizontal="right"/>
    </xf>
    <xf numFmtId="0" fontId="12" fillId="0" borderId="3" xfId="0" applyFont="1" applyBorder="1" applyAlignment="1">
      <alignment horizontal="right"/>
    </xf>
    <xf numFmtId="0" fontId="12" fillId="3" borderId="3" xfId="0" applyFont="1" applyFill="1" applyBorder="1" applyAlignment="1">
      <alignment horizontal="right"/>
    </xf>
    <xf numFmtId="0" fontId="8" fillId="0" borderId="3" xfId="0" applyFont="1" applyBorder="1" applyAlignment="1">
      <alignment horizontal="right"/>
    </xf>
    <xf numFmtId="0" fontId="8" fillId="2" borderId="3" xfId="0" applyFont="1" applyFill="1" applyBorder="1" applyAlignment="1">
      <alignment horizontal="right"/>
    </xf>
    <xf numFmtId="0" fontId="8" fillId="3" borderId="3" xfId="0" applyFont="1" applyFill="1" applyBorder="1" applyAlignment="1">
      <alignment horizontal="right"/>
    </xf>
    <xf numFmtId="0" fontId="12" fillId="0" borderId="5" xfId="0" applyFont="1" applyBorder="1" applyAlignment="1">
      <alignment horizontal="right" wrapText="1"/>
    </xf>
    <xf numFmtId="0" fontId="12" fillId="0" borderId="6" xfId="0" applyFont="1" applyBorder="1" applyAlignment="1">
      <alignment horizontal="right"/>
    </xf>
    <xf numFmtId="49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 wrapText="1"/>
    </xf>
    <xf numFmtId="0" fontId="8" fillId="0" borderId="0" xfId="0" applyFont="1" applyAlignment="1">
      <alignment horizontal="right"/>
    </xf>
    <xf numFmtId="5" fontId="8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right"/>
    </xf>
    <xf numFmtId="7" fontId="12" fillId="0" borderId="0" xfId="0" applyNumberFormat="1" applyFont="1" applyAlignment="1">
      <alignment horizontal="right"/>
    </xf>
    <xf numFmtId="10" fontId="8" fillId="0" borderId="0" xfId="0" applyNumberFormat="1" applyFont="1" applyAlignment="1">
      <alignment horizontal="right"/>
    </xf>
    <xf numFmtId="0" fontId="8" fillId="3" borderId="0" xfId="0" applyFont="1" applyFill="1" applyAlignment="1">
      <alignment horizontal="right"/>
    </xf>
    <xf numFmtId="0" fontId="8" fillId="2" borderId="0" xfId="0" applyFont="1" applyFill="1" applyAlignment="1">
      <alignment horizontal="right"/>
    </xf>
    <xf numFmtId="37" fontId="8" fillId="0" borderId="0" xfId="0" applyNumberFormat="1" applyFont="1" applyAlignment="1">
      <alignment horizontal="right"/>
    </xf>
    <xf numFmtId="0" fontId="12" fillId="0" borderId="6" xfId="0" applyFont="1" applyBorder="1" applyAlignment="1">
      <alignment horizontal="right" wrapText="1"/>
    </xf>
    <xf numFmtId="9" fontId="1" fillId="0" borderId="0" xfId="87" applyFont="1" applyAlignment="1">
      <alignment horizontal="right"/>
    </xf>
    <xf numFmtId="0" fontId="10" fillId="0" borderId="0" xfId="0" applyFont="1" applyAlignment="1">
      <alignment horizontal="right"/>
    </xf>
    <xf numFmtId="0" fontId="8" fillId="0" borderId="0" xfId="0" quotePrefix="1" applyFont="1" applyAlignment="1">
      <alignment horizontal="right"/>
    </xf>
    <xf numFmtId="9" fontId="8" fillId="0" borderId="0" xfId="0" quotePrefix="1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0" fontId="11" fillId="3" borderId="3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164" fontId="8" fillId="0" borderId="0" xfId="0" quotePrefix="1" applyNumberFormat="1" applyFont="1" applyAlignment="1">
      <alignment horizontal="right"/>
    </xf>
    <xf numFmtId="44" fontId="0" fillId="0" borderId="0" xfId="88" applyFont="1"/>
    <xf numFmtId="0" fontId="11" fillId="3" borderId="4" xfId="0" applyFont="1" applyFill="1" applyBorder="1" applyAlignment="1">
      <alignment horizontal="center"/>
    </xf>
    <xf numFmtId="0" fontId="10" fillId="0" borderId="4" xfId="0" applyFont="1" applyBorder="1" applyAlignment="1">
      <alignment horizontal="right"/>
    </xf>
    <xf numFmtId="49" fontId="8" fillId="0" borderId="4" xfId="0" applyNumberFormat="1" applyFont="1" applyBorder="1" applyAlignment="1">
      <alignment horizontal="right"/>
    </xf>
    <xf numFmtId="0" fontId="8" fillId="0" borderId="4" xfId="0" applyFont="1" applyBorder="1" applyAlignment="1">
      <alignment horizontal="right" wrapText="1"/>
    </xf>
    <xf numFmtId="0" fontId="8" fillId="0" borderId="4" xfId="0" applyFont="1" applyBorder="1" applyAlignment="1">
      <alignment horizontal="right"/>
    </xf>
    <xf numFmtId="3" fontId="8" fillId="0" borderId="4" xfId="0" applyNumberFormat="1" applyFont="1" applyBorder="1" applyAlignment="1">
      <alignment horizontal="right"/>
    </xf>
    <xf numFmtId="5" fontId="8" fillId="0" borderId="4" xfId="0" applyNumberFormat="1" applyFont="1" applyBorder="1" applyAlignment="1">
      <alignment horizontal="right"/>
    </xf>
    <xf numFmtId="7" fontId="12" fillId="0" borderId="4" xfId="0" applyNumberFormat="1" applyFont="1" applyBorder="1" applyAlignment="1">
      <alignment horizontal="right"/>
    </xf>
    <xf numFmtId="0" fontId="8" fillId="3" borderId="4" xfId="0" applyFont="1" applyFill="1" applyBorder="1" applyAlignment="1">
      <alignment horizontal="right"/>
    </xf>
    <xf numFmtId="0" fontId="8" fillId="0" borderId="4" xfId="0" quotePrefix="1" applyFont="1" applyBorder="1" applyAlignment="1">
      <alignment horizontal="right"/>
    </xf>
    <xf numFmtId="9" fontId="8" fillId="0" borderId="4" xfId="0" quotePrefix="1" applyNumberFormat="1" applyFont="1" applyBorder="1" applyAlignment="1">
      <alignment horizontal="right"/>
    </xf>
    <xf numFmtId="0" fontId="8" fillId="2" borderId="4" xfId="0" applyFont="1" applyFill="1" applyBorder="1" applyAlignment="1">
      <alignment horizontal="right"/>
    </xf>
    <xf numFmtId="0" fontId="12" fillId="0" borderId="8" xfId="0" applyFont="1" applyBorder="1" applyAlignment="1">
      <alignment horizontal="right"/>
    </xf>
    <xf numFmtId="0" fontId="10" fillId="0" borderId="0" xfId="0" applyFont="1" applyAlignment="1">
      <alignment vertical="center"/>
    </xf>
    <xf numFmtId="166" fontId="0" fillId="0" borderId="0" xfId="89" applyNumberFormat="1" applyFont="1"/>
    <xf numFmtId="0" fontId="12" fillId="0" borderId="0" xfId="0" applyFont="1" applyAlignment="1">
      <alignment vertical="center"/>
    </xf>
    <xf numFmtId="165" fontId="0" fillId="0" borderId="0" xfId="88" applyNumberFormat="1" applyFont="1"/>
    <xf numFmtId="164" fontId="0" fillId="0" borderId="0" xfId="0" applyNumberFormat="1"/>
    <xf numFmtId="165" fontId="8" fillId="0" borderId="0" xfId="88" applyNumberFormat="1" applyFont="1" applyAlignment="1">
      <alignment vertical="center"/>
    </xf>
    <xf numFmtId="10" fontId="8" fillId="0" borderId="0" xfId="0" applyNumberFormat="1" applyFont="1" applyAlignment="1">
      <alignment vertical="center"/>
    </xf>
    <xf numFmtId="0" fontId="12" fillId="0" borderId="0" xfId="0" applyFont="1"/>
    <xf numFmtId="10" fontId="8" fillId="0" borderId="0" xfId="87" applyNumberFormat="1" applyFont="1"/>
    <xf numFmtId="10" fontId="8" fillId="0" borderId="4" xfId="0" applyNumberFormat="1" applyFont="1" applyBorder="1" applyAlignment="1">
      <alignment horizontal="right"/>
    </xf>
    <xf numFmtId="164" fontId="8" fillId="0" borderId="4" xfId="0" quotePrefix="1" applyNumberFormat="1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90">
    <cellStyle name="Comma" xfId="89" builtinId="3"/>
    <cellStyle name="Currency" xfId="88" builtinId="4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Normal" xfId="0" builtinId="0"/>
    <cellStyle name="Percent" xfId="87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4"/>
  <sheetViews>
    <sheetView tabSelected="1" zoomScale="145" zoomScaleNormal="145" zoomScaleSheetLayoutView="100" zoomScalePageLayoutView="200" workbookViewId="0">
      <selection activeCell="A36" sqref="A36:F76"/>
    </sheetView>
  </sheetViews>
  <sheetFormatPr defaultColWidth="11" defaultRowHeight="15.75"/>
  <cols>
    <col min="1" max="15" width="13.875" customWidth="1"/>
    <col min="17" max="18" width="13.875" customWidth="1"/>
  </cols>
  <sheetData>
    <row r="1" spans="1:18" ht="20.100000000000001" customHeight="1">
      <c r="A1" s="64" t="s">
        <v>17</v>
      </c>
      <c r="B1" s="65"/>
      <c r="C1" s="65"/>
      <c r="D1" s="65"/>
      <c r="E1" s="65"/>
      <c r="F1" s="66"/>
      <c r="G1" s="37"/>
      <c r="H1" s="37"/>
      <c r="I1" s="37"/>
      <c r="J1" s="37"/>
      <c r="K1" s="37"/>
      <c r="L1" s="37"/>
      <c r="N1" s="37"/>
      <c r="O1" s="37"/>
      <c r="Q1" s="37"/>
      <c r="R1" s="37"/>
    </row>
    <row r="2" spans="1:18" s="3" customFormat="1" ht="3" customHeight="1">
      <c r="A2" s="35"/>
      <c r="B2" s="36"/>
      <c r="C2" s="36"/>
      <c r="D2" s="36"/>
      <c r="E2" s="36"/>
      <c r="F2" s="40"/>
      <c r="G2" s="36"/>
      <c r="H2" s="36"/>
      <c r="I2" s="36"/>
      <c r="J2" s="36"/>
      <c r="K2" s="36"/>
      <c r="O2" s="36"/>
    </row>
    <row r="3" spans="1:18" ht="20.100000000000001" customHeight="1">
      <c r="A3" s="11" t="s">
        <v>26</v>
      </c>
      <c r="B3" s="31" t="s">
        <v>0</v>
      </c>
      <c r="C3" s="31" t="s">
        <v>27</v>
      </c>
      <c r="D3" s="31" t="s">
        <v>1</v>
      </c>
      <c r="E3" s="31" t="s">
        <v>2</v>
      </c>
      <c r="F3" s="41" t="s">
        <v>3</v>
      </c>
      <c r="G3" s="31"/>
      <c r="H3" s="31"/>
      <c r="I3" s="41"/>
      <c r="J3" s="31"/>
      <c r="K3" s="31"/>
      <c r="L3" s="31"/>
      <c r="M3" s="31"/>
      <c r="N3" s="31"/>
      <c r="O3" s="31"/>
      <c r="Q3" s="31"/>
      <c r="R3" s="31"/>
    </row>
    <row r="4" spans="1:18" ht="20.100000000000001" customHeight="1">
      <c r="A4" s="12" t="s">
        <v>19</v>
      </c>
      <c r="B4" s="19" t="s">
        <v>9</v>
      </c>
      <c r="C4" s="19" t="s">
        <v>53</v>
      </c>
      <c r="D4" s="19" t="s">
        <v>47</v>
      </c>
      <c r="E4" s="19" t="s">
        <v>44</v>
      </c>
      <c r="F4" s="42" t="s">
        <v>43</v>
      </c>
      <c r="G4" s="19"/>
      <c r="H4" s="19"/>
      <c r="I4" s="42"/>
      <c r="J4" s="19"/>
      <c r="K4" s="19"/>
      <c r="L4" s="19"/>
      <c r="M4" s="19"/>
      <c r="N4" s="19"/>
      <c r="O4" s="19"/>
      <c r="P4" s="4"/>
      <c r="Q4" s="19"/>
      <c r="R4" s="19"/>
    </row>
    <row r="5" spans="1:18" ht="30" customHeight="1">
      <c r="A5" s="12" t="s">
        <v>6</v>
      </c>
      <c r="B5" s="20" t="s">
        <v>49</v>
      </c>
      <c r="C5" s="20" t="s">
        <v>54</v>
      </c>
      <c r="D5" s="20" t="s">
        <v>50</v>
      </c>
      <c r="E5" s="20" t="s">
        <v>51</v>
      </c>
      <c r="F5" s="43" t="s">
        <v>52</v>
      </c>
      <c r="G5" s="20"/>
      <c r="H5" s="20"/>
      <c r="I5" s="43"/>
      <c r="J5" s="20"/>
      <c r="K5" s="20"/>
      <c r="L5" s="20"/>
      <c r="M5" s="20"/>
      <c r="N5" s="20"/>
      <c r="O5" s="20"/>
      <c r="P5" s="5"/>
      <c r="Q5" s="20"/>
      <c r="R5" s="20"/>
    </row>
    <row r="6" spans="1:18" ht="30" customHeight="1">
      <c r="A6" s="12" t="s">
        <v>8</v>
      </c>
      <c r="B6" s="20" t="s">
        <v>57</v>
      </c>
      <c r="C6" s="20" t="s">
        <v>48</v>
      </c>
      <c r="D6" s="20" t="s">
        <v>36</v>
      </c>
      <c r="E6" s="20" t="s">
        <v>36</v>
      </c>
      <c r="F6" s="43" t="s">
        <v>58</v>
      </c>
      <c r="G6" s="20"/>
      <c r="H6" s="20"/>
      <c r="I6" s="43"/>
      <c r="J6" s="20"/>
      <c r="K6" s="20"/>
      <c r="L6" s="20"/>
      <c r="M6" s="20"/>
      <c r="N6" s="20"/>
      <c r="O6" s="20"/>
      <c r="P6" s="6"/>
      <c r="Q6" s="20"/>
      <c r="R6" s="20"/>
    </row>
    <row r="7" spans="1:18" ht="20.100000000000001" customHeight="1">
      <c r="A7" s="12" t="s">
        <v>14</v>
      </c>
      <c r="B7" s="21" t="s">
        <v>56</v>
      </c>
      <c r="C7" s="21">
        <v>1977</v>
      </c>
      <c r="D7" s="21">
        <v>1950</v>
      </c>
      <c r="E7" s="21">
        <v>1917</v>
      </c>
      <c r="F7" s="44" t="s">
        <v>46</v>
      </c>
      <c r="G7" s="21"/>
      <c r="H7" s="21"/>
      <c r="I7" s="44"/>
      <c r="J7" s="21"/>
      <c r="K7" s="21"/>
      <c r="L7" s="21"/>
      <c r="M7" s="21"/>
      <c r="N7" s="21"/>
      <c r="O7" s="21"/>
      <c r="P7" s="6"/>
      <c r="Q7" s="21"/>
      <c r="R7" s="21"/>
    </row>
    <row r="8" spans="1:18" ht="20.100000000000001" customHeight="1">
      <c r="A8" s="12" t="s">
        <v>15</v>
      </c>
      <c r="B8" s="21" t="s">
        <v>39</v>
      </c>
      <c r="C8" s="21" t="s">
        <v>39</v>
      </c>
      <c r="D8" s="21" t="s">
        <v>45</v>
      </c>
      <c r="E8" s="21" t="s">
        <v>39</v>
      </c>
      <c r="F8" s="44" t="s">
        <v>39</v>
      </c>
      <c r="G8" s="21"/>
      <c r="H8" s="21"/>
      <c r="I8" s="44"/>
      <c r="J8" s="21"/>
      <c r="K8" s="21"/>
      <c r="L8" s="21"/>
      <c r="M8" s="21"/>
      <c r="N8" s="21"/>
      <c r="O8" s="21"/>
      <c r="P8" s="6"/>
      <c r="Q8" s="21"/>
      <c r="R8" s="21"/>
    </row>
    <row r="9" spans="1:18" ht="20.100000000000001" customHeight="1">
      <c r="A9" s="12" t="s">
        <v>24</v>
      </c>
      <c r="B9" s="23">
        <f>975+2340+975</f>
        <v>4290</v>
      </c>
      <c r="C9" s="23">
        <v>1800</v>
      </c>
      <c r="D9" s="23">
        <v>2560</v>
      </c>
      <c r="E9" s="23">
        <f>3116*2</f>
        <v>6232</v>
      </c>
      <c r="F9" s="45">
        <f>102+1778+1314</f>
        <v>3194</v>
      </c>
      <c r="G9" s="23"/>
      <c r="H9" s="23"/>
      <c r="I9" s="45"/>
      <c r="J9" s="23"/>
      <c r="K9" s="23"/>
      <c r="L9" s="23"/>
      <c r="M9" s="23"/>
      <c r="N9" s="23"/>
      <c r="O9" s="23"/>
      <c r="P9" s="8"/>
      <c r="Q9" s="23"/>
      <c r="R9" s="23"/>
    </row>
    <row r="10" spans="1:18" ht="20.100000000000001" hidden="1" customHeight="1">
      <c r="A10" s="12" t="s">
        <v>33</v>
      </c>
      <c r="B10" s="23">
        <v>90866</v>
      </c>
      <c r="C10" s="23">
        <v>8408</v>
      </c>
      <c r="D10" s="23">
        <v>8408</v>
      </c>
      <c r="E10" s="23">
        <v>8400</v>
      </c>
      <c r="F10" s="45">
        <v>24693</v>
      </c>
      <c r="G10" s="23"/>
      <c r="H10" s="23"/>
      <c r="I10" s="45"/>
      <c r="J10" s="23"/>
      <c r="K10" s="23"/>
      <c r="L10" s="23"/>
      <c r="M10" s="23"/>
      <c r="N10" s="23"/>
      <c r="O10" s="23"/>
      <c r="P10" s="8"/>
      <c r="Q10" s="23"/>
      <c r="R10" s="23"/>
    </row>
    <row r="11" spans="1:18" ht="20.100000000000001" customHeight="1">
      <c r="A11" s="12" t="s">
        <v>21</v>
      </c>
      <c r="B11" s="23" t="s">
        <v>34</v>
      </c>
      <c r="C11" s="23" t="s">
        <v>34</v>
      </c>
      <c r="D11" s="23" t="s">
        <v>40</v>
      </c>
      <c r="E11" s="23" t="s">
        <v>34</v>
      </c>
      <c r="F11" s="45" t="s">
        <v>34</v>
      </c>
      <c r="G11" s="23"/>
      <c r="H11" s="23"/>
      <c r="I11" s="45"/>
      <c r="J11" s="23"/>
      <c r="K11" s="23"/>
      <c r="L11" s="23"/>
      <c r="M11" s="23"/>
      <c r="N11" s="23"/>
      <c r="O11" s="23"/>
      <c r="P11" s="8"/>
      <c r="Q11" s="23"/>
      <c r="R11" s="23"/>
    </row>
    <row r="12" spans="1:18" ht="20.100000000000001" customHeight="1">
      <c r="A12" s="12" t="s">
        <v>7</v>
      </c>
      <c r="B12" s="22" t="s">
        <v>9</v>
      </c>
      <c r="C12" s="22">
        <v>1300000</v>
      </c>
      <c r="D12" s="22">
        <v>975000</v>
      </c>
      <c r="E12" s="22">
        <v>2100000</v>
      </c>
      <c r="F12" s="46">
        <v>1580000</v>
      </c>
      <c r="G12" s="22"/>
      <c r="H12" s="22"/>
      <c r="I12" s="46"/>
      <c r="J12" s="22"/>
      <c r="K12" s="22"/>
      <c r="L12" s="22"/>
      <c r="M12" s="22"/>
      <c r="N12" s="22"/>
      <c r="O12" s="22"/>
      <c r="P12" s="7"/>
      <c r="Q12" s="22"/>
      <c r="R12" s="22"/>
    </row>
    <row r="13" spans="1:18" ht="20.100000000000001" customHeight="1">
      <c r="A13" s="12" t="s">
        <v>41</v>
      </c>
      <c r="B13" s="22" t="s">
        <v>9</v>
      </c>
      <c r="C13" s="22">
        <f>12240*60</f>
        <v>734400</v>
      </c>
      <c r="D13" s="22">
        <f>D10*30</f>
        <v>252240</v>
      </c>
      <c r="E13" s="22">
        <f>E10*90</f>
        <v>756000</v>
      </c>
      <c r="F13" s="46">
        <f>F10*35</f>
        <v>864255</v>
      </c>
      <c r="G13" s="22"/>
      <c r="H13" s="22"/>
      <c r="I13" s="22"/>
      <c r="J13" s="22"/>
      <c r="K13" s="22"/>
      <c r="L13" s="22"/>
      <c r="M13" s="22"/>
      <c r="N13" s="22"/>
      <c r="O13" s="22"/>
      <c r="P13" s="7"/>
      <c r="Q13" s="22"/>
      <c r="R13" s="22"/>
    </row>
    <row r="14" spans="1:18" ht="20.100000000000001" customHeight="1">
      <c r="A14" s="12" t="s">
        <v>42</v>
      </c>
      <c r="B14" s="22" t="s">
        <v>9</v>
      </c>
      <c r="C14" s="22">
        <f>C12-C13</f>
        <v>565600</v>
      </c>
      <c r="D14" s="22">
        <f>D12-D13</f>
        <v>722760</v>
      </c>
      <c r="E14" s="22">
        <f>E12-E13</f>
        <v>1344000</v>
      </c>
      <c r="F14" s="46">
        <f>F12-F13</f>
        <v>715745</v>
      </c>
      <c r="G14" s="22"/>
      <c r="H14" s="22"/>
      <c r="I14" s="22"/>
      <c r="J14" s="22"/>
      <c r="K14" s="22"/>
      <c r="L14" s="22"/>
      <c r="M14" s="22"/>
      <c r="N14" s="22"/>
      <c r="O14" s="22"/>
      <c r="P14" s="7"/>
      <c r="Q14" s="22"/>
      <c r="R14" s="22"/>
    </row>
    <row r="15" spans="1:18" ht="20.100000000000001" customHeight="1">
      <c r="A15" s="12" t="s">
        <v>22</v>
      </c>
      <c r="B15" s="24" t="s">
        <v>9</v>
      </c>
      <c r="C15" s="24">
        <f>C14/C9</f>
        <v>314.22222222222223</v>
      </c>
      <c r="D15" s="24">
        <f>D14/D9</f>
        <v>282.328125</v>
      </c>
      <c r="E15" s="24">
        <f>E14/E9</f>
        <v>215.66110397946085</v>
      </c>
      <c r="F15" s="47">
        <f>F14/F9</f>
        <v>224.09048215403882</v>
      </c>
      <c r="G15" s="24"/>
      <c r="H15" s="24"/>
      <c r="I15" s="24"/>
      <c r="J15" s="24"/>
      <c r="K15" s="24"/>
      <c r="L15" s="24"/>
      <c r="M15" s="24"/>
      <c r="N15" s="24"/>
      <c r="O15" s="24"/>
      <c r="P15" s="9"/>
      <c r="Q15" s="24"/>
      <c r="R15" s="24"/>
    </row>
    <row r="16" spans="1:18" ht="20.100000000000001" customHeight="1">
      <c r="A16" s="12" t="s">
        <v>18</v>
      </c>
      <c r="B16" s="25" t="s">
        <v>9</v>
      </c>
      <c r="C16" s="25">
        <v>0.05</v>
      </c>
      <c r="D16" s="25">
        <v>4.7399999999999998E-2</v>
      </c>
      <c r="E16" s="25">
        <v>5.3600000000000002E-2</v>
      </c>
      <c r="F16" s="62">
        <v>4.5600000000000002E-2</v>
      </c>
      <c r="G16" s="25"/>
      <c r="H16" s="25"/>
      <c r="I16" s="62"/>
      <c r="J16" s="25"/>
      <c r="K16" s="25"/>
      <c r="L16" s="25"/>
      <c r="M16" s="25"/>
      <c r="N16" s="25"/>
      <c r="O16" s="25"/>
      <c r="P16" s="10"/>
      <c r="Q16" s="25"/>
      <c r="R16" s="25"/>
    </row>
    <row r="17" spans="1:18" s="3" customFormat="1" ht="3" customHeight="1">
      <c r="A17" s="13"/>
      <c r="B17" s="26"/>
      <c r="C17" s="26"/>
      <c r="D17" s="26"/>
      <c r="E17" s="26"/>
      <c r="F17" s="48"/>
      <c r="G17" s="26"/>
      <c r="H17" s="26"/>
      <c r="I17" s="48"/>
      <c r="J17" s="26"/>
      <c r="K17" s="26"/>
      <c r="L17" s="26"/>
      <c r="M17" s="26"/>
      <c r="N17" s="26"/>
      <c r="O17" s="26"/>
      <c r="Q17" s="26"/>
      <c r="R17" s="26"/>
    </row>
    <row r="18" spans="1:18" ht="20.100000000000001" customHeight="1">
      <c r="A18" s="12" t="s">
        <v>38</v>
      </c>
      <c r="B18" s="21" t="s">
        <v>55</v>
      </c>
      <c r="C18" s="21" t="s">
        <v>37</v>
      </c>
      <c r="D18" s="21" t="s">
        <v>37</v>
      </c>
      <c r="E18" s="21" t="s">
        <v>37</v>
      </c>
      <c r="F18" s="44" t="s">
        <v>37</v>
      </c>
      <c r="G18" s="21"/>
      <c r="H18" s="21"/>
      <c r="I18" s="44"/>
      <c r="J18" s="21"/>
      <c r="K18" s="21"/>
      <c r="L18" s="21"/>
      <c r="M18" s="21"/>
      <c r="N18" s="21"/>
      <c r="O18" s="21"/>
      <c r="Q18" s="21"/>
      <c r="R18" s="21"/>
    </row>
    <row r="19" spans="1:18" ht="20.100000000000001" customHeight="1">
      <c r="A19" s="12" t="s">
        <v>4</v>
      </c>
      <c r="B19" s="21" t="s">
        <v>12</v>
      </c>
      <c r="C19" s="21" t="s">
        <v>12</v>
      </c>
      <c r="D19" s="21" t="s">
        <v>12</v>
      </c>
      <c r="E19" s="21" t="s">
        <v>12</v>
      </c>
      <c r="F19" s="44" t="s">
        <v>12</v>
      </c>
      <c r="G19" s="21"/>
      <c r="H19" s="21"/>
      <c r="I19" s="44"/>
      <c r="J19" s="21"/>
      <c r="K19" s="21"/>
      <c r="L19" s="21"/>
      <c r="M19" s="21"/>
      <c r="N19" s="21"/>
      <c r="O19" s="21"/>
      <c r="Q19" s="21"/>
      <c r="R19" s="21"/>
    </row>
    <row r="20" spans="1:18" ht="20.100000000000001" customHeight="1">
      <c r="A20" s="12" t="s">
        <v>5</v>
      </c>
      <c r="B20" s="21" t="s">
        <v>10</v>
      </c>
      <c r="C20" s="21" t="s">
        <v>10</v>
      </c>
      <c r="D20" s="21" t="s">
        <v>10</v>
      </c>
      <c r="E20" s="21" t="s">
        <v>10</v>
      </c>
      <c r="F20" s="44" t="s">
        <v>10</v>
      </c>
      <c r="G20" s="21"/>
      <c r="H20" s="21"/>
      <c r="I20" s="44"/>
      <c r="J20" s="21"/>
      <c r="K20" s="21"/>
      <c r="L20" s="21"/>
      <c r="M20" s="21"/>
      <c r="N20" s="21"/>
      <c r="O20" s="21"/>
      <c r="Q20" s="21"/>
      <c r="R20" s="21"/>
    </row>
    <row r="21" spans="1:18" ht="20.100000000000001" customHeight="1">
      <c r="A21" s="12" t="s">
        <v>35</v>
      </c>
      <c r="B21" s="21" t="s">
        <v>11</v>
      </c>
      <c r="C21" s="32" t="s">
        <v>13</v>
      </c>
      <c r="D21" s="32" t="s">
        <v>13</v>
      </c>
      <c r="E21" s="32" t="s">
        <v>13</v>
      </c>
      <c r="F21" s="49" t="s">
        <v>25</v>
      </c>
      <c r="G21" s="32"/>
      <c r="H21" s="32"/>
      <c r="I21" s="49"/>
      <c r="J21" s="32"/>
      <c r="K21" s="32"/>
      <c r="L21" s="21"/>
      <c r="M21" s="21"/>
      <c r="N21" s="21"/>
      <c r="O21" s="21"/>
      <c r="Q21" s="21"/>
      <c r="R21" s="21"/>
    </row>
    <row r="22" spans="1:18" ht="20.100000000000001" customHeight="1">
      <c r="A22" s="14" t="s">
        <v>32</v>
      </c>
      <c r="B22" s="21" t="s">
        <v>30</v>
      </c>
      <c r="C22" s="33" t="s">
        <v>30</v>
      </c>
      <c r="D22" s="33" t="s">
        <v>30</v>
      </c>
      <c r="E22" s="33" t="s">
        <v>30</v>
      </c>
      <c r="F22" s="63">
        <v>2.5000000000000001E-2</v>
      </c>
      <c r="G22" s="38"/>
      <c r="H22" s="33"/>
      <c r="I22" s="50"/>
      <c r="J22" s="33"/>
      <c r="K22" s="33"/>
      <c r="L22" s="34"/>
      <c r="M22" s="34"/>
      <c r="N22" s="34"/>
      <c r="O22" s="34"/>
      <c r="Q22" s="34"/>
      <c r="R22" s="34"/>
    </row>
    <row r="23" spans="1:18" ht="20.100000000000001" customHeight="1">
      <c r="A23" s="12" t="s">
        <v>20</v>
      </c>
      <c r="B23" s="24" t="str">
        <f>B15</f>
        <v>N/A</v>
      </c>
      <c r="C23" s="24">
        <f>C15</f>
        <v>314.22222222222223</v>
      </c>
      <c r="D23" s="24">
        <f>D15</f>
        <v>282.328125</v>
      </c>
      <c r="E23" s="24">
        <f>E15</f>
        <v>215.66110397946085</v>
      </c>
      <c r="F23" s="47">
        <f>F15*1.025</f>
        <v>229.69274420788977</v>
      </c>
      <c r="G23" s="24"/>
      <c r="H23" s="24"/>
      <c r="I23" s="47"/>
      <c r="J23" s="24"/>
      <c r="K23" s="24"/>
      <c r="L23" s="24"/>
      <c r="M23" s="24"/>
      <c r="N23" s="24"/>
      <c r="O23" s="24"/>
      <c r="Q23" s="24"/>
      <c r="R23" s="24"/>
    </row>
    <row r="24" spans="1:18" s="2" customFormat="1" ht="3" customHeight="1">
      <c r="A24" s="15"/>
      <c r="B24" s="27"/>
      <c r="C24" s="27"/>
      <c r="D24" s="27"/>
      <c r="E24" s="27"/>
      <c r="F24" s="51"/>
      <c r="G24" s="27"/>
      <c r="H24" s="27"/>
      <c r="I24" s="51"/>
      <c r="J24" s="27"/>
      <c r="K24" s="27"/>
      <c r="L24" s="27"/>
      <c r="M24" s="27"/>
      <c r="N24" s="27"/>
      <c r="O24" s="27"/>
      <c r="Q24" s="27"/>
      <c r="R24" s="27"/>
    </row>
    <row r="25" spans="1:18" ht="20.100000000000001" hidden="1" customHeight="1">
      <c r="A25" s="12" t="s">
        <v>16</v>
      </c>
      <c r="B25" s="21" t="s">
        <v>29</v>
      </c>
      <c r="C25" s="21" t="s">
        <v>23</v>
      </c>
      <c r="D25" s="21" t="s">
        <v>23</v>
      </c>
      <c r="E25" s="21" t="s">
        <v>25</v>
      </c>
      <c r="F25" s="44" t="s">
        <v>25</v>
      </c>
      <c r="G25" s="21"/>
      <c r="H25" s="21"/>
      <c r="I25" s="44"/>
      <c r="J25" s="21"/>
      <c r="K25" s="21"/>
      <c r="L25" s="21"/>
      <c r="M25" s="21"/>
      <c r="N25" s="21"/>
      <c r="O25" s="21"/>
      <c r="Q25" s="21"/>
      <c r="R25" s="21"/>
    </row>
    <row r="26" spans="1:18" ht="20.100000000000001" customHeight="1">
      <c r="A26" s="12" t="s">
        <v>8</v>
      </c>
      <c r="B26" s="21" t="str">
        <f>B6</f>
        <v>Multi-Tenant Retail</v>
      </c>
      <c r="C26" s="21" t="s">
        <v>30</v>
      </c>
      <c r="D26" s="21" t="s">
        <v>25</v>
      </c>
      <c r="E26" s="21" t="s">
        <v>25</v>
      </c>
      <c r="F26" s="44" t="s">
        <v>23</v>
      </c>
      <c r="G26" s="21"/>
      <c r="H26" s="21"/>
      <c r="I26" s="44"/>
      <c r="J26" s="21"/>
      <c r="K26" s="21"/>
      <c r="L26" s="21"/>
      <c r="M26" s="21"/>
      <c r="N26" s="21"/>
      <c r="O26" s="21"/>
      <c r="Q26" s="21"/>
      <c r="R26" s="21"/>
    </row>
    <row r="27" spans="1:18" ht="20.100000000000001" customHeight="1">
      <c r="A27" s="12" t="s">
        <v>15</v>
      </c>
      <c r="B27" s="21" t="str">
        <f>B8</f>
        <v>20 yrs.</v>
      </c>
      <c r="C27" s="21" t="s">
        <v>30</v>
      </c>
      <c r="D27" s="21" t="s">
        <v>30</v>
      </c>
      <c r="E27" s="21" t="s">
        <v>30</v>
      </c>
      <c r="F27" s="44" t="s">
        <v>30</v>
      </c>
      <c r="G27" s="21"/>
      <c r="H27" s="21"/>
      <c r="I27" s="44"/>
      <c r="J27" s="21"/>
      <c r="K27" s="21"/>
      <c r="L27" s="21"/>
      <c r="M27" s="21"/>
      <c r="N27" s="21"/>
      <c r="O27" s="21"/>
      <c r="Q27" s="21"/>
      <c r="R27" s="21"/>
    </row>
    <row r="28" spans="1:18" ht="20.100000000000001" hidden="1" customHeight="1">
      <c r="A28" s="12" t="s">
        <v>31</v>
      </c>
      <c r="B28" s="34">
        <v>0.114</v>
      </c>
      <c r="C28" s="21" t="s">
        <v>13</v>
      </c>
      <c r="D28" s="21" t="s">
        <v>13</v>
      </c>
      <c r="E28" s="21" t="s">
        <v>13</v>
      </c>
      <c r="F28" s="44" t="s">
        <v>13</v>
      </c>
      <c r="G28" s="21"/>
      <c r="H28" s="21"/>
      <c r="I28" s="44"/>
      <c r="J28" s="21"/>
      <c r="K28" s="21"/>
      <c r="L28" s="28"/>
      <c r="M28" s="28"/>
      <c r="N28" s="28"/>
      <c r="O28" s="28"/>
      <c r="Q28" s="28"/>
      <c r="R28" s="28"/>
    </row>
    <row r="29" spans="1:18" ht="20.100000000000001" customHeight="1">
      <c r="A29" s="12" t="s">
        <v>24</v>
      </c>
      <c r="B29" s="23">
        <f>B9</f>
        <v>4290</v>
      </c>
      <c r="C29" s="23" t="s">
        <v>23</v>
      </c>
      <c r="D29" s="23" t="s">
        <v>23</v>
      </c>
      <c r="E29" s="23" t="s">
        <v>25</v>
      </c>
      <c r="F29" s="44" t="s">
        <v>30</v>
      </c>
      <c r="G29" s="23"/>
      <c r="H29" s="23"/>
      <c r="I29" s="45"/>
      <c r="J29" s="23"/>
      <c r="K29" s="23"/>
      <c r="L29" s="23"/>
      <c r="M29" s="23"/>
      <c r="N29" s="23"/>
      <c r="O29" s="23"/>
      <c r="Q29" s="23"/>
      <c r="R29" s="23"/>
    </row>
    <row r="30" spans="1:18" ht="20.100000000000001" hidden="1" customHeight="1">
      <c r="A30" s="12" t="s">
        <v>33</v>
      </c>
      <c r="B30" s="23">
        <f>B10</f>
        <v>90866</v>
      </c>
      <c r="C30" s="23" t="s">
        <v>25</v>
      </c>
      <c r="D30" s="23" t="s">
        <v>25</v>
      </c>
      <c r="E30" s="23" t="s">
        <v>23</v>
      </c>
      <c r="F30" s="45" t="s">
        <v>23</v>
      </c>
      <c r="G30" s="23"/>
      <c r="H30" s="23"/>
      <c r="I30" s="45"/>
      <c r="J30" s="23"/>
      <c r="K30" s="23"/>
      <c r="L30" s="23"/>
      <c r="M30" s="23"/>
      <c r="N30" s="23"/>
      <c r="O30" s="23"/>
      <c r="Q30" s="23"/>
      <c r="R30" s="23"/>
    </row>
    <row r="31" spans="1:18" ht="20.100000000000001" customHeight="1">
      <c r="A31" s="12" t="s">
        <v>21</v>
      </c>
      <c r="B31" s="23" t="str">
        <f>B11</f>
        <v>Aver./Aver.</v>
      </c>
      <c r="C31" s="21" t="s">
        <v>30</v>
      </c>
      <c r="D31" s="21" t="s">
        <v>23</v>
      </c>
      <c r="E31" s="21" t="s">
        <v>30</v>
      </c>
      <c r="F31" s="44" t="s">
        <v>30</v>
      </c>
      <c r="G31" s="21"/>
      <c r="H31" s="21"/>
      <c r="I31" s="44"/>
      <c r="J31" s="21"/>
      <c r="K31" s="21"/>
      <c r="L31" s="23"/>
      <c r="M31" s="23"/>
      <c r="N31" s="23"/>
      <c r="O31" s="23"/>
      <c r="Q31" s="23"/>
      <c r="R31" s="23"/>
    </row>
    <row r="32" spans="1:18" s="3" customFormat="1" ht="3" customHeight="1">
      <c r="A32" s="16"/>
      <c r="B32" s="26"/>
      <c r="C32" s="26"/>
      <c r="D32" s="26"/>
      <c r="E32" s="26"/>
      <c r="F32" s="48"/>
      <c r="G32" s="26"/>
      <c r="H32" s="26"/>
      <c r="I32" s="48"/>
      <c r="J32" s="26"/>
      <c r="K32" s="26"/>
      <c r="L32" s="26"/>
      <c r="M32" s="26"/>
      <c r="N32" s="26"/>
      <c r="O32" s="26"/>
      <c r="Q32" s="26"/>
      <c r="R32" s="26"/>
    </row>
    <row r="33" spans="1:18" ht="30" customHeight="1">
      <c r="A33" s="17" t="s">
        <v>28</v>
      </c>
      <c r="B33" s="18" t="s">
        <v>9</v>
      </c>
      <c r="C33" s="18" t="s">
        <v>23</v>
      </c>
      <c r="D33" s="18" t="s">
        <v>23</v>
      </c>
      <c r="E33" s="18" t="s">
        <v>25</v>
      </c>
      <c r="F33" s="52" t="s">
        <v>23</v>
      </c>
      <c r="G33" s="18"/>
      <c r="H33" s="18"/>
      <c r="I33" s="52"/>
      <c r="J33" s="18"/>
      <c r="K33" s="18"/>
      <c r="L33" s="29"/>
      <c r="M33" s="29"/>
      <c r="N33" s="29"/>
      <c r="O33" s="29"/>
      <c r="Q33" s="29"/>
      <c r="R33" s="29"/>
    </row>
    <row r="34" spans="1:18" ht="20.100000000000001" customHeight="1">
      <c r="A34" s="1"/>
      <c r="B34" s="30"/>
      <c r="C34" s="30"/>
      <c r="D34" s="30"/>
      <c r="E34" s="30"/>
      <c r="F34" s="30"/>
      <c r="H34" s="30"/>
      <c r="I34" s="30"/>
      <c r="J34" s="30"/>
      <c r="K34" s="30"/>
      <c r="L34" s="30"/>
      <c r="M34" s="30"/>
      <c r="N34" s="30"/>
      <c r="O34" s="30"/>
      <c r="Q34" s="30"/>
      <c r="R34" s="30"/>
    </row>
    <row r="35" spans="1:18">
      <c r="A35" s="1"/>
      <c r="B35" s="1"/>
      <c r="C35" s="1"/>
      <c r="D35" s="1"/>
      <c r="E35" s="1"/>
      <c r="F35" s="1"/>
      <c r="H35" s="1"/>
      <c r="I35" s="1"/>
      <c r="J35" s="1"/>
      <c r="K35" s="1"/>
      <c r="L35" s="1"/>
      <c r="M35" s="1"/>
      <c r="N35" s="1"/>
      <c r="O35" s="1"/>
      <c r="Q35" s="1"/>
      <c r="R35" s="1"/>
    </row>
    <row r="37" spans="1:18">
      <c r="B37" s="53"/>
      <c r="C37" s="39"/>
    </row>
    <row r="38" spans="1:18">
      <c r="A38" s="54"/>
      <c r="B38" s="55"/>
      <c r="C38" s="56"/>
    </row>
    <row r="39" spans="1:18">
      <c r="A39" s="57"/>
      <c r="B39" s="55"/>
      <c r="C39" s="58"/>
    </row>
    <row r="40" spans="1:18">
      <c r="B40" s="55"/>
      <c r="C40" s="58"/>
    </row>
    <row r="41" spans="1:18">
      <c r="B41" s="55"/>
      <c r="C41" s="58"/>
    </row>
    <row r="42" spans="1:18">
      <c r="B42" s="55"/>
      <c r="C42" s="58"/>
    </row>
    <row r="43" spans="1:18">
      <c r="B43" s="55"/>
      <c r="C43" s="59"/>
    </row>
    <row r="44" spans="1:18">
      <c r="A44" s="56"/>
      <c r="B44" s="60"/>
      <c r="C44" s="61"/>
    </row>
    <row r="47" spans="1:18">
      <c r="B47" s="53"/>
      <c r="C47" s="39"/>
    </row>
    <row r="48" spans="1:18">
      <c r="A48" s="54"/>
      <c r="B48" s="55"/>
      <c r="C48" s="56"/>
    </row>
    <row r="49" spans="1:3">
      <c r="A49" s="57"/>
      <c r="B49" s="55"/>
      <c r="C49" s="58"/>
    </row>
    <row r="50" spans="1:3">
      <c r="B50" s="55"/>
      <c r="C50" s="58"/>
    </row>
    <row r="51" spans="1:3">
      <c r="B51" s="55"/>
      <c r="C51" s="58"/>
    </row>
    <row r="52" spans="1:3">
      <c r="B52" s="55"/>
      <c r="C52" s="58"/>
    </row>
    <row r="53" spans="1:3">
      <c r="B53" s="55"/>
      <c r="C53" s="59"/>
    </row>
    <row r="54" spans="1:3">
      <c r="A54" s="56"/>
      <c r="B54" s="60"/>
      <c r="C54" s="61"/>
    </row>
    <row r="57" spans="1:3">
      <c r="B57" s="53"/>
      <c r="C57" s="39"/>
    </row>
    <row r="58" spans="1:3">
      <c r="A58" s="54"/>
      <c r="B58" s="55"/>
      <c r="C58" s="56"/>
    </row>
    <row r="59" spans="1:3">
      <c r="A59" s="57"/>
      <c r="B59" s="55"/>
      <c r="C59" s="58"/>
    </row>
    <row r="60" spans="1:3">
      <c r="B60" s="55"/>
      <c r="C60" s="58"/>
    </row>
    <row r="61" spans="1:3">
      <c r="B61" s="55"/>
      <c r="C61" s="58"/>
    </row>
    <row r="62" spans="1:3">
      <c r="B62" s="55"/>
      <c r="C62" s="58"/>
    </row>
    <row r="63" spans="1:3">
      <c r="B63" s="55"/>
      <c r="C63" s="59"/>
    </row>
    <row r="64" spans="1:3">
      <c r="A64" s="56"/>
      <c r="B64" s="60"/>
      <c r="C64" s="61"/>
    </row>
    <row r="67" spans="1:3">
      <c r="B67" s="53"/>
      <c r="C67" s="39"/>
    </row>
    <row r="68" spans="1:3">
      <c r="A68" s="54"/>
      <c r="B68" s="55"/>
      <c r="C68" s="56"/>
    </row>
    <row r="69" spans="1:3">
      <c r="A69" s="57"/>
      <c r="B69" s="55"/>
      <c r="C69" s="58"/>
    </row>
    <row r="70" spans="1:3">
      <c r="B70" s="55"/>
      <c r="C70" s="58"/>
    </row>
    <row r="71" spans="1:3">
      <c r="B71" s="55"/>
      <c r="C71" s="58"/>
    </row>
    <row r="72" spans="1:3">
      <c r="B72" s="55"/>
      <c r="C72" s="58"/>
    </row>
    <row r="73" spans="1:3">
      <c r="B73" s="55"/>
      <c r="C73" s="59"/>
    </row>
    <row r="74" spans="1:3">
      <c r="A74" s="56"/>
      <c r="B74" s="60"/>
      <c r="C74" s="61"/>
    </row>
    <row r="77" spans="1:3">
      <c r="B77" s="53"/>
      <c r="C77" s="39"/>
    </row>
    <row r="78" spans="1:3">
      <c r="A78" s="54"/>
      <c r="B78" s="55"/>
      <c r="C78" s="56"/>
    </row>
    <row r="79" spans="1:3">
      <c r="A79" s="57"/>
      <c r="B79" s="55"/>
      <c r="C79" s="58"/>
    </row>
    <row r="80" spans="1:3">
      <c r="B80" s="55"/>
      <c r="C80" s="58"/>
    </row>
    <row r="81" spans="1:3">
      <c r="B81" s="55"/>
      <c r="C81" s="58"/>
    </row>
    <row r="82" spans="1:3">
      <c r="B82" s="55"/>
      <c r="C82" s="58"/>
    </row>
    <row r="83" spans="1:3">
      <c r="B83" s="55"/>
      <c r="C83" s="59"/>
    </row>
    <row r="84" spans="1:3">
      <c r="A84" s="56"/>
      <c r="B84" s="60"/>
      <c r="C84" s="61"/>
    </row>
  </sheetData>
  <mergeCells count="1">
    <mergeCell ref="A1:F1"/>
  </mergeCells>
  <phoneticPr fontId="4" type="noConversion"/>
  <printOptions gridLines="1"/>
  <pageMargins left="0.75" right="0.75" top="1" bottom="1" header="0.5" footer="0.5"/>
  <pageSetup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Brenda McNaney</cp:lastModifiedBy>
  <cp:lastPrinted>2017-07-17T19:55:03Z</cp:lastPrinted>
  <dcterms:created xsi:type="dcterms:W3CDTF">2015-11-24T18:27:37Z</dcterms:created>
  <dcterms:modified xsi:type="dcterms:W3CDTF">2024-03-28T20:35:19Z</dcterms:modified>
</cp:coreProperties>
</file>