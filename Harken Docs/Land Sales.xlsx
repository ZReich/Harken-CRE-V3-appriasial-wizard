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renda McNaney\NAI Dropbox\Brenda McNaney\ROVE Appraisal\Harken Templates\"/>
    </mc:Choice>
  </mc:AlternateContent>
  <xr:revisionPtr revIDLastSave="0" documentId="13_ncr:1_{80B578B6-499F-4F99-9061-D8D76BA4C2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9" i="1" l="1"/>
  <c r="G27" i="1"/>
  <c r="E19" i="1"/>
  <c r="E27" i="1"/>
  <c r="D17" i="1"/>
  <c r="B33" i="1"/>
  <c r="D19" i="1"/>
  <c r="D27" i="1"/>
  <c r="B32" i="1"/>
  <c r="F19" i="1"/>
  <c r="F27" i="1"/>
  <c r="C19" i="1"/>
  <c r="C27" i="1"/>
  <c r="B34" i="1"/>
  <c r="B31" i="1"/>
</calcChain>
</file>

<file path=xl/sharedStrings.xml><?xml version="1.0" encoding="utf-8"?>
<sst xmlns="http://schemas.openxmlformats.org/spreadsheetml/2006/main" count="184" uniqueCount="78">
  <si>
    <t>Element:</t>
  </si>
  <si>
    <t>Subject</t>
  </si>
  <si>
    <t>Financing:</t>
  </si>
  <si>
    <t>Cond. Sale:</t>
  </si>
  <si>
    <t>Sales Price:</t>
  </si>
  <si>
    <t>H &amp; B Use:</t>
  </si>
  <si>
    <t>N/A</t>
  </si>
  <si>
    <t>Typical</t>
  </si>
  <si>
    <t>Current</t>
  </si>
  <si>
    <t>Cash to Seller</t>
  </si>
  <si>
    <t>Similar</t>
  </si>
  <si>
    <t>Location:</t>
  </si>
  <si>
    <t>Date of Sale:</t>
  </si>
  <si>
    <t>Fee Simple</t>
  </si>
  <si>
    <t>Utilities:</t>
  </si>
  <si>
    <t>Zoning:</t>
  </si>
  <si>
    <t>Price/Acre:</t>
  </si>
  <si>
    <t>Sale 2</t>
  </si>
  <si>
    <t>Sale 1</t>
  </si>
  <si>
    <t>Superior</t>
  </si>
  <si>
    <t>Adj. $/Acre:</t>
  </si>
  <si>
    <t>Land Sales Chart</t>
  </si>
  <si>
    <t>Good</t>
  </si>
  <si>
    <t>Inferior</t>
  </si>
  <si>
    <t>-</t>
  </si>
  <si>
    <t>Adjustment:</t>
  </si>
  <si>
    <t>Sale 3</t>
  </si>
  <si>
    <t>Sale 4</t>
  </si>
  <si>
    <t>Prop. Rights:</t>
  </si>
  <si>
    <t>Size/SF:</t>
  </si>
  <si>
    <t>Market Cond.:</t>
  </si>
  <si>
    <t>None</t>
  </si>
  <si>
    <t>Size/Acres:</t>
  </si>
  <si>
    <t>Elec.</t>
  </si>
  <si>
    <t>Expenditures:</t>
  </si>
  <si>
    <t>N. Side of N. Kootenai Cr. Rd., W. of Wakantanka Way</t>
  </si>
  <si>
    <t>Development Land</t>
  </si>
  <si>
    <t>City, St.:</t>
  </si>
  <si>
    <t>Stevensville, MT</t>
  </si>
  <si>
    <t>Well/Elec.</t>
  </si>
  <si>
    <t>06-2023</t>
  </si>
  <si>
    <t>07-2022</t>
  </si>
  <si>
    <t>06-2021</t>
  </si>
  <si>
    <t>02-2021</t>
  </si>
  <si>
    <t>Irrigated</t>
  </si>
  <si>
    <t>Improvements</t>
  </si>
  <si>
    <t>2 Barns</t>
  </si>
  <si>
    <t>Level</t>
  </si>
  <si>
    <t>No</t>
  </si>
  <si>
    <t>Views:</t>
  </si>
  <si>
    <t>Gravel Pit</t>
  </si>
  <si>
    <t>Level/Slightly Sloped</t>
  </si>
  <si>
    <t>Valley</t>
  </si>
  <si>
    <t>Acess</t>
  </si>
  <si>
    <t>2 old SFRS in fair condition</t>
  </si>
  <si>
    <t>Creek/Wooded</t>
  </si>
  <si>
    <t>Valley/Wooded</t>
  </si>
  <si>
    <t>Water rights pasture</t>
  </si>
  <si>
    <t>Creek, woods</t>
  </si>
  <si>
    <t>Irrigated-Gravity Flow</t>
  </si>
  <si>
    <t>Irrigation Rights</t>
  </si>
  <si>
    <t>Level/Rolling</t>
  </si>
  <si>
    <t>Topography:</t>
  </si>
  <si>
    <t>ML#</t>
  </si>
  <si>
    <t>Victor, MT</t>
  </si>
  <si>
    <t xml:space="preserve">N. Side of Dry Gulch Rd. W. of Store Ln. </t>
  </si>
  <si>
    <t>Level/Sloped</t>
  </si>
  <si>
    <t>SEC Red Crow Rd. &amp; Wild Rose Ln.</t>
  </si>
  <si>
    <t>Sale 5</t>
  </si>
  <si>
    <t>04-2022</t>
  </si>
  <si>
    <t>N. of Jenne Ln., E. of Heavens Way</t>
  </si>
  <si>
    <t>Florence, MT</t>
  </si>
  <si>
    <t>W. Side of Longley Ln. S. of Pat Ln.</t>
  </si>
  <si>
    <t>CC&amp;R's</t>
  </si>
  <si>
    <t>W. of Illinois Bench Road</t>
  </si>
  <si>
    <t>Well/Septic/Elec.</t>
  </si>
  <si>
    <t>Irrigation:</t>
  </si>
  <si>
    <t>Overall       Comparability: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</si>
</sst>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#,##0.0"/>
    <numFmt numFmtId="165" formatCode="#,##0.000"/>
    <numFmt numFmtId="166" formatCode="_(&quot;$&quot;* #,##0_);_(&quot;$&quot;* \(#,##0\);_(&quot;$&quot;* &quot;-&quot;??_);_(@_)"/>
  </numFmts>
  <fonts count="21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sz val="12"/>
      <color theme="1"/>
      <name val="Calibri"/>
      <family val="2"/>
      <charset val="136"/>
      <scheme val="minor"/>
    </font>
    <font>
      <sz val="8"/>
      <color theme="1"/>
      <name val="Times New Roman"/>
      <family val="1"/>
    </font>
    <font>
      <b/>
      <u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u/>
      <sz val="12"/>
      <color theme="1"/>
      <name val="Calibri"/>
      <family val="2"/>
      <scheme val="minor"/>
    </font>
    <font>
      <b/>
      <u/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01">
    <xf numFmtId="0" fontId="0" fillId="0" borderId="0" xfId="0"/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49" fontId="17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right" wrapText="1"/>
    </xf>
    <xf numFmtId="0" fontId="17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17" fillId="0" borderId="0" xfId="0" applyFont="1" applyAlignment="1">
      <alignment horizontal="right"/>
    </xf>
    <xf numFmtId="5" fontId="17" fillId="0" borderId="0" xfId="0" applyNumberFormat="1" applyFont="1" applyAlignment="1">
      <alignment horizontal="right"/>
    </xf>
    <xf numFmtId="0" fontId="11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10" fontId="4" fillId="0" borderId="5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 wrapText="1"/>
    </xf>
    <xf numFmtId="0" fontId="12" fillId="0" borderId="7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7" fontId="4" fillId="0" borderId="0" xfId="0" applyNumberFormat="1" applyFont="1" applyAlignment="1">
      <alignment horizontal="right"/>
    </xf>
    <xf numFmtId="44" fontId="4" fillId="0" borderId="0" xfId="149" applyFont="1" applyFill="1" applyAlignment="1">
      <alignment horizontal="right"/>
    </xf>
    <xf numFmtId="0" fontId="0" fillId="0" borderId="0" xfId="0" applyAlignment="1">
      <alignment horizontal="right"/>
    </xf>
    <xf numFmtId="0" fontId="11" fillId="2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0" fontId="10" fillId="2" borderId="0" xfId="0" applyFont="1" applyFill="1" applyAlignment="1">
      <alignment horizontal="center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9" fontId="17" fillId="0" borderId="5" xfId="0" applyNumberFormat="1" applyFont="1" applyBorder="1" applyAlignment="1">
      <alignment horizontal="right"/>
    </xf>
    <xf numFmtId="0" fontId="17" fillId="0" borderId="5" xfId="0" applyFont="1" applyBorder="1" applyAlignment="1">
      <alignment horizontal="right" wrapText="1"/>
    </xf>
    <xf numFmtId="0" fontId="17" fillId="0" borderId="5" xfId="0" applyFont="1" applyBorder="1" applyAlignment="1">
      <alignment horizontal="right"/>
    </xf>
    <xf numFmtId="5" fontId="17" fillId="0" borderId="5" xfId="0" applyNumberFormat="1" applyFont="1" applyBorder="1" applyAlignment="1">
      <alignment horizontal="right"/>
    </xf>
    <xf numFmtId="4" fontId="17" fillId="0" borderId="5" xfId="0" applyNumberFormat="1" applyFont="1" applyBorder="1" applyAlignment="1">
      <alignment horizontal="right"/>
    </xf>
    <xf numFmtId="166" fontId="4" fillId="0" borderId="0" xfId="149" applyNumberFormat="1" applyFont="1" applyFill="1" applyAlignment="1">
      <alignment horizontal="right"/>
    </xf>
    <xf numFmtId="0" fontId="4" fillId="0" borderId="0" xfId="0" quotePrefix="1" applyFont="1" applyAlignment="1">
      <alignment horizontal="right"/>
    </xf>
    <xf numFmtId="165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5" fontId="16" fillId="0" borderId="0" xfId="0" applyNumberFormat="1" applyFont="1" applyAlignment="1">
      <alignment horizontal="right"/>
    </xf>
    <xf numFmtId="5" fontId="16" fillId="0" borderId="5" xfId="0" applyNumberFormat="1" applyFont="1" applyBorder="1" applyAlignment="1">
      <alignment horizontal="right"/>
    </xf>
    <xf numFmtId="5" fontId="11" fillId="2" borderId="0" xfId="0" applyNumberFormat="1" applyFont="1" applyFill="1" applyAlignment="1">
      <alignment horizontal="right"/>
    </xf>
    <xf numFmtId="5" fontId="11" fillId="2" borderId="5" xfId="0" applyNumberFormat="1" applyFont="1" applyFill="1" applyBorder="1" applyAlignment="1">
      <alignment horizontal="right"/>
    </xf>
    <xf numFmtId="5" fontId="18" fillId="0" borderId="0" xfId="0" applyNumberFormat="1" applyFont="1" applyAlignment="1">
      <alignment horizontal="right"/>
    </xf>
    <xf numFmtId="5" fontId="18" fillId="0" borderId="5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165" fontId="0" fillId="0" borderId="0" xfId="0" applyNumberFormat="1"/>
    <xf numFmtId="0" fontId="10" fillId="0" borderId="0" xfId="0" applyFont="1" applyAlignment="1">
      <alignment horizontal="center"/>
    </xf>
    <xf numFmtId="5" fontId="11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5" xfId="0" applyFont="1" applyBorder="1" applyAlignment="1">
      <alignment horizontal="right"/>
    </xf>
    <xf numFmtId="166" fontId="0" fillId="0" borderId="0" xfId="0" applyNumberFormat="1"/>
    <xf numFmtId="9" fontId="0" fillId="0" borderId="0" xfId="150" applyFont="1"/>
    <xf numFmtId="0" fontId="3" fillId="0" borderId="0" xfId="0" applyFont="1" applyAlignment="1">
      <alignment vertical="center"/>
    </xf>
    <xf numFmtId="44" fontId="17" fillId="0" borderId="0" xfId="149" applyFont="1" applyAlignment="1">
      <alignment horizontal="right" wrapText="1"/>
    </xf>
    <xf numFmtId="44" fontId="4" fillId="0" borderId="0" xfId="149" applyFont="1" applyAlignment="1">
      <alignment horizontal="right"/>
    </xf>
    <xf numFmtId="44" fontId="4" fillId="0" borderId="0" xfId="149" applyFont="1"/>
    <xf numFmtId="0" fontId="2" fillId="0" borderId="0" xfId="0" applyFont="1" applyAlignment="1">
      <alignment vertical="center"/>
    </xf>
    <xf numFmtId="44" fontId="3" fillId="0" borderId="0" xfId="149" applyFont="1" applyAlignment="1">
      <alignment vertical="center"/>
    </xf>
    <xf numFmtId="5" fontId="17" fillId="0" borderId="0" xfId="0" applyNumberFormat="1" applyFont="1" applyAlignment="1">
      <alignment horizontal="right" wrapText="1"/>
    </xf>
    <xf numFmtId="7" fontId="17" fillId="0" borderId="0" xfId="0" applyNumberFormat="1" applyFont="1" applyAlignment="1">
      <alignment horizontal="right" wrapText="1"/>
    </xf>
    <xf numFmtId="165" fontId="17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5" fillId="0" borderId="0" xfId="0" quotePrefix="1" applyFont="1" applyAlignment="1">
      <alignment horizontal="right"/>
    </xf>
    <xf numFmtId="0" fontId="1" fillId="0" borderId="0" xfId="0" quotePrefix="1" applyFont="1" applyAlignment="1">
      <alignment vertical="center"/>
    </xf>
    <xf numFmtId="0" fontId="1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10" fillId="0" borderId="0" xfId="0" applyFont="1" applyFill="1" applyBorder="1" applyAlignment="1">
      <alignment horizontal="center"/>
    </xf>
    <xf numFmtId="0" fontId="19" fillId="0" borderId="0" xfId="0" applyFont="1" applyFill="1" applyBorder="1"/>
    <xf numFmtId="0" fontId="16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49" fontId="17" fillId="0" borderId="0" xfId="0" applyNumberFormat="1" applyFont="1" applyFill="1" applyBorder="1" applyAlignment="1">
      <alignment horizontal="right"/>
    </xf>
    <xf numFmtId="0" fontId="17" fillId="0" borderId="0" xfId="0" applyFont="1" applyFill="1" applyBorder="1" applyAlignment="1">
      <alignment horizontal="right" wrapText="1"/>
    </xf>
    <xf numFmtId="0" fontId="15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5" fontId="17" fillId="0" borderId="0" xfId="0" applyNumberFormat="1" applyFont="1" applyFill="1" applyBorder="1" applyAlignment="1">
      <alignment horizontal="right"/>
    </xf>
    <xf numFmtId="4" fontId="17" fillId="0" borderId="0" xfId="0" applyNumberFormat="1" applyFont="1" applyFill="1" applyBorder="1" applyAlignment="1">
      <alignment horizontal="right"/>
    </xf>
    <xf numFmtId="5" fontId="18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10" fontId="4" fillId="0" borderId="0" xfId="0" applyNumberFormat="1" applyFont="1" applyFill="1" applyBorder="1" applyAlignment="1">
      <alignment horizontal="right"/>
    </xf>
    <xf numFmtId="5" fontId="16" fillId="0" borderId="0" xfId="0" applyNumberFormat="1" applyFont="1" applyFill="1" applyBorder="1" applyAlignment="1">
      <alignment horizontal="right"/>
    </xf>
    <xf numFmtId="5" fontId="11" fillId="0" borderId="0" xfId="0" applyNumberFormat="1" applyFon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4" fillId="0" borderId="0" xfId="0" quotePrefix="1" applyFont="1" applyFill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44" fontId="4" fillId="0" borderId="0" xfId="149" applyFont="1" applyFill="1" applyBorder="1" applyAlignment="1">
      <alignment horizontal="right"/>
    </xf>
    <xf numFmtId="44" fontId="0" fillId="0" borderId="0" xfId="149" applyFont="1" applyFill="1" applyBorder="1"/>
  </cellXfs>
  <cellStyles count="151">
    <cellStyle name="Currency" xfId="149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Normal" xfId="0" builtinId="0"/>
    <cellStyle name="Percent" xfId="150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="130" zoomScaleNormal="130" zoomScalePageLayoutView="200" workbookViewId="0">
      <selection activeCell="A37" sqref="A37"/>
    </sheetView>
  </sheetViews>
  <sheetFormatPr defaultColWidth="11" defaultRowHeight="15.75"/>
  <cols>
    <col min="1" max="1" width="12.375" customWidth="1"/>
    <col min="2" max="3" width="13.625" customWidth="1"/>
    <col min="4" max="7" width="13.625" bestFit="1" customWidth="1"/>
    <col min="8" max="8" width="13.625" customWidth="1"/>
    <col min="9" max="11" width="13.625" style="76" bestFit="1" customWidth="1"/>
    <col min="12" max="12" width="13.625" style="76" customWidth="1"/>
    <col min="13" max="14" width="11" style="76"/>
  </cols>
  <sheetData>
    <row r="1" spans="1:14">
      <c r="A1" s="73" t="s">
        <v>21</v>
      </c>
      <c r="B1" s="74"/>
      <c r="C1" s="74"/>
      <c r="D1" s="74"/>
      <c r="E1" s="74"/>
      <c r="F1" s="74"/>
      <c r="G1" s="75"/>
      <c r="L1" s="77"/>
      <c r="N1" s="78"/>
    </row>
    <row r="2" spans="1:14" ht="3" customHeight="1">
      <c r="A2" s="1"/>
      <c r="B2" s="29"/>
      <c r="C2" s="29"/>
      <c r="D2" s="29"/>
      <c r="E2" s="29"/>
      <c r="F2" s="29"/>
      <c r="G2" s="2"/>
      <c r="H2" s="53"/>
      <c r="I2" s="77"/>
      <c r="J2" s="77"/>
      <c r="K2" s="77"/>
      <c r="L2" s="77"/>
    </row>
    <row r="3" spans="1:14" ht="20.100000000000001" customHeight="1">
      <c r="A3" s="6" t="s">
        <v>0</v>
      </c>
      <c r="B3" s="56" t="s">
        <v>1</v>
      </c>
      <c r="C3" s="56" t="s">
        <v>18</v>
      </c>
      <c r="D3" s="56" t="s">
        <v>17</v>
      </c>
      <c r="E3" s="56" t="s">
        <v>26</v>
      </c>
      <c r="F3" s="56" t="s">
        <v>27</v>
      </c>
      <c r="G3" s="57" t="s">
        <v>68</v>
      </c>
      <c r="H3" s="43"/>
      <c r="I3" s="79"/>
      <c r="J3" s="80"/>
      <c r="K3" s="81"/>
      <c r="L3" s="81"/>
      <c r="M3" s="82"/>
      <c r="N3" s="82"/>
    </row>
    <row r="4" spans="1:14" ht="20.100000000000001" customHeight="1">
      <c r="A4" s="7" t="s">
        <v>12</v>
      </c>
      <c r="B4" s="8" t="s">
        <v>8</v>
      </c>
      <c r="C4" s="8" t="s">
        <v>40</v>
      </c>
      <c r="D4" s="8" t="s">
        <v>41</v>
      </c>
      <c r="E4" s="8" t="s">
        <v>69</v>
      </c>
      <c r="F4" s="8" t="s">
        <v>42</v>
      </c>
      <c r="G4" s="32" t="s">
        <v>43</v>
      </c>
      <c r="H4" s="8"/>
      <c r="I4" s="82"/>
      <c r="J4" s="82"/>
      <c r="K4" s="82"/>
      <c r="L4" s="82"/>
      <c r="M4" s="83"/>
      <c r="N4" s="84"/>
    </row>
    <row r="5" spans="1:14" s="11" customFormat="1" ht="39.950000000000003" hidden="1" customHeight="1">
      <c r="A5" s="9" t="s">
        <v>63</v>
      </c>
      <c r="B5" s="10"/>
      <c r="C5" s="10">
        <v>30006212</v>
      </c>
      <c r="D5" s="10">
        <v>22207923</v>
      </c>
      <c r="E5" s="10">
        <v>22108941</v>
      </c>
      <c r="F5" s="10">
        <v>22104379</v>
      </c>
      <c r="G5" s="33">
        <v>22100122</v>
      </c>
      <c r="H5" s="10"/>
      <c r="I5" s="83"/>
      <c r="J5" s="83"/>
      <c r="K5" s="83"/>
      <c r="L5" s="83"/>
      <c r="M5" s="83"/>
      <c r="N5" s="83"/>
    </row>
    <row r="6" spans="1:14" s="11" customFormat="1" ht="39.950000000000003" customHeight="1">
      <c r="A6" s="9" t="s">
        <v>11</v>
      </c>
      <c r="B6" s="10" t="s">
        <v>35</v>
      </c>
      <c r="C6" s="10" t="s">
        <v>65</v>
      </c>
      <c r="D6" s="10" t="s">
        <v>67</v>
      </c>
      <c r="E6" s="10" t="s">
        <v>70</v>
      </c>
      <c r="F6" s="10" t="s">
        <v>72</v>
      </c>
      <c r="G6" s="33" t="s">
        <v>74</v>
      </c>
      <c r="H6" s="10"/>
      <c r="I6" s="83"/>
      <c r="J6" s="83"/>
      <c r="K6" s="83"/>
      <c r="L6" s="83"/>
      <c r="M6" s="83"/>
      <c r="N6" s="83"/>
    </row>
    <row r="7" spans="1:14" s="11" customFormat="1" ht="20.100000000000001" customHeight="1">
      <c r="A7" s="9" t="s">
        <v>37</v>
      </c>
      <c r="B7" s="10" t="s">
        <v>38</v>
      </c>
      <c r="C7" s="10" t="s">
        <v>38</v>
      </c>
      <c r="D7" s="10" t="s">
        <v>64</v>
      </c>
      <c r="E7" s="10" t="s">
        <v>71</v>
      </c>
      <c r="F7" s="10" t="s">
        <v>38</v>
      </c>
      <c r="G7" s="33" t="s">
        <v>38</v>
      </c>
      <c r="H7" s="10"/>
      <c r="I7" s="83"/>
      <c r="J7" s="83"/>
      <c r="K7" s="83"/>
      <c r="L7" s="83"/>
      <c r="M7" s="83"/>
      <c r="N7" s="83"/>
    </row>
    <row r="8" spans="1:14" ht="20.100000000000001" customHeight="1">
      <c r="A8" s="7" t="s">
        <v>5</v>
      </c>
      <c r="B8" s="14" t="s">
        <v>36</v>
      </c>
      <c r="C8" s="14" t="s">
        <v>36</v>
      </c>
      <c r="D8" s="14" t="s">
        <v>36</v>
      </c>
      <c r="E8" s="14" t="s">
        <v>36</v>
      </c>
      <c r="F8" s="14" t="s">
        <v>36</v>
      </c>
      <c r="G8" s="34" t="s">
        <v>36</v>
      </c>
      <c r="H8" s="12"/>
      <c r="I8" s="86"/>
      <c r="J8" s="85"/>
      <c r="K8" s="85"/>
      <c r="L8" s="85"/>
      <c r="M8" s="85"/>
      <c r="N8" s="86"/>
    </row>
    <row r="9" spans="1:14" ht="20.100000000000001" hidden="1" customHeight="1">
      <c r="A9" s="7" t="s">
        <v>53</v>
      </c>
      <c r="B9" s="14" t="s">
        <v>22</v>
      </c>
      <c r="C9" s="14" t="s">
        <v>22</v>
      </c>
      <c r="D9" s="14" t="s">
        <v>22</v>
      </c>
      <c r="E9" s="14" t="s">
        <v>22</v>
      </c>
      <c r="F9" s="14" t="s">
        <v>22</v>
      </c>
      <c r="G9" s="34" t="s">
        <v>22</v>
      </c>
      <c r="H9" s="12"/>
      <c r="I9" s="86"/>
      <c r="J9" s="85"/>
      <c r="K9" s="85"/>
      <c r="L9" s="85"/>
      <c r="M9" s="86"/>
      <c r="N9" s="86"/>
    </row>
    <row r="10" spans="1:14" ht="20.100000000000001" hidden="1" customHeight="1">
      <c r="A10" s="7" t="s">
        <v>44</v>
      </c>
      <c r="B10" s="14" t="s">
        <v>44</v>
      </c>
      <c r="C10" s="14" t="s">
        <v>48</v>
      </c>
      <c r="D10" s="14" t="s">
        <v>57</v>
      </c>
      <c r="E10" s="14" t="s">
        <v>59</v>
      </c>
      <c r="F10" s="14" t="s">
        <v>59</v>
      </c>
      <c r="G10" s="34" t="s">
        <v>60</v>
      </c>
      <c r="H10" s="14"/>
      <c r="I10" s="86"/>
      <c r="J10" s="86"/>
      <c r="K10" s="86"/>
      <c r="L10" s="86"/>
      <c r="M10" s="85"/>
      <c r="N10" s="85"/>
    </row>
    <row r="11" spans="1:14" ht="20.100000000000001" customHeight="1">
      <c r="A11" s="7" t="s">
        <v>76</v>
      </c>
      <c r="B11" s="14" t="s">
        <v>44</v>
      </c>
      <c r="C11" s="14" t="s">
        <v>31</v>
      </c>
      <c r="D11" s="14" t="s">
        <v>31</v>
      </c>
      <c r="E11" s="14" t="s">
        <v>31</v>
      </c>
      <c r="F11" s="14" t="s">
        <v>44</v>
      </c>
      <c r="G11" s="34" t="s">
        <v>31</v>
      </c>
      <c r="H11" s="14"/>
      <c r="I11" s="86"/>
      <c r="J11" s="86"/>
      <c r="K11" s="86"/>
      <c r="L11" s="86"/>
      <c r="M11" s="85"/>
      <c r="N11" s="85"/>
    </row>
    <row r="12" spans="1:14" ht="20.100000000000001" customHeight="1">
      <c r="A12" s="7" t="s">
        <v>14</v>
      </c>
      <c r="B12" s="14" t="s">
        <v>39</v>
      </c>
      <c r="C12" s="14" t="s">
        <v>33</v>
      </c>
      <c r="D12" s="14" t="s">
        <v>75</v>
      </c>
      <c r="E12" s="14" t="s">
        <v>33</v>
      </c>
      <c r="F12" s="14" t="s">
        <v>33</v>
      </c>
      <c r="G12" s="34" t="s">
        <v>33</v>
      </c>
      <c r="H12" s="12"/>
      <c r="I12" s="86"/>
      <c r="J12" s="85"/>
      <c r="K12" s="85"/>
      <c r="L12" s="85"/>
      <c r="M12" s="85"/>
      <c r="N12" s="85"/>
    </row>
    <row r="13" spans="1:14" ht="20.100000000000001" hidden="1" customHeight="1">
      <c r="A13" s="7" t="s">
        <v>45</v>
      </c>
      <c r="B13" s="14" t="s">
        <v>46</v>
      </c>
      <c r="C13" s="14" t="s">
        <v>50</v>
      </c>
      <c r="D13" s="14" t="s">
        <v>54</v>
      </c>
      <c r="E13" s="14" t="s">
        <v>31</v>
      </c>
      <c r="F13" s="14" t="s">
        <v>31</v>
      </c>
      <c r="G13" s="34" t="s">
        <v>31</v>
      </c>
      <c r="H13" s="12"/>
      <c r="I13" s="86"/>
      <c r="J13" s="85"/>
      <c r="K13" s="85"/>
      <c r="L13" s="85"/>
      <c r="M13" s="85"/>
      <c r="N13" s="85"/>
    </row>
    <row r="14" spans="1:14" ht="20.100000000000001" customHeight="1">
      <c r="A14" s="7" t="s">
        <v>62</v>
      </c>
      <c r="B14" s="14" t="s">
        <v>51</v>
      </c>
      <c r="C14" s="14" t="s">
        <v>66</v>
      </c>
      <c r="D14" s="14" t="s">
        <v>51</v>
      </c>
      <c r="E14" s="14" t="s">
        <v>61</v>
      </c>
      <c r="F14" s="14" t="s">
        <v>47</v>
      </c>
      <c r="G14" s="34" t="s">
        <v>51</v>
      </c>
      <c r="H14" s="12"/>
      <c r="I14" s="86"/>
      <c r="J14" s="85"/>
      <c r="K14" s="85"/>
      <c r="L14" s="85"/>
      <c r="M14" s="85"/>
      <c r="N14" s="85"/>
    </row>
    <row r="15" spans="1:14" ht="20.100000000000001" customHeight="1">
      <c r="A15" s="7" t="s">
        <v>15</v>
      </c>
      <c r="B15" s="14" t="s">
        <v>31</v>
      </c>
      <c r="C15" s="14" t="s">
        <v>31</v>
      </c>
      <c r="D15" s="14" t="s">
        <v>31</v>
      </c>
      <c r="E15" s="14" t="s">
        <v>31</v>
      </c>
      <c r="F15" s="14" t="s">
        <v>31</v>
      </c>
      <c r="G15" s="34" t="s">
        <v>73</v>
      </c>
      <c r="H15" s="12"/>
      <c r="I15" s="86"/>
      <c r="J15" s="85"/>
      <c r="K15" s="85"/>
      <c r="L15" s="85"/>
      <c r="M15" s="85"/>
      <c r="N15" s="87"/>
    </row>
    <row r="16" spans="1:14" ht="20.100000000000001" hidden="1" customHeight="1">
      <c r="A16" s="7" t="s">
        <v>49</v>
      </c>
      <c r="B16" s="14" t="s">
        <v>56</v>
      </c>
      <c r="C16" s="14" t="s">
        <v>55</v>
      </c>
      <c r="D16" s="14" t="s">
        <v>55</v>
      </c>
      <c r="E16" s="14" t="s">
        <v>58</v>
      </c>
      <c r="F16" s="14" t="s">
        <v>58</v>
      </c>
      <c r="G16" s="34" t="s">
        <v>52</v>
      </c>
      <c r="H16" s="12"/>
      <c r="I16" s="86"/>
      <c r="J16" s="85"/>
      <c r="K16" s="85"/>
      <c r="L16" s="85"/>
      <c r="M16" s="87"/>
      <c r="N16" s="87"/>
    </row>
    <row r="17" spans="1:14" ht="20.100000000000001" customHeight="1">
      <c r="A17" s="7" t="s">
        <v>4</v>
      </c>
      <c r="B17" s="15" t="s">
        <v>6</v>
      </c>
      <c r="C17" s="15">
        <v>650000</v>
      </c>
      <c r="D17" s="15">
        <f>1520000-250000</f>
        <v>1270000</v>
      </c>
      <c r="E17" s="15">
        <v>560000</v>
      </c>
      <c r="F17" s="15">
        <v>690000</v>
      </c>
      <c r="G17" s="35">
        <v>415000</v>
      </c>
      <c r="H17" s="15"/>
      <c r="I17" s="87"/>
      <c r="J17" s="87"/>
      <c r="K17" s="87"/>
      <c r="L17" s="87"/>
      <c r="M17" s="88"/>
      <c r="N17" s="88"/>
    </row>
    <row r="18" spans="1:14" ht="20.100000000000001" customHeight="1">
      <c r="A18" s="7" t="s">
        <v>32</v>
      </c>
      <c r="B18" s="68">
        <v>68.564999999999998</v>
      </c>
      <c r="C18" s="28">
        <v>50.15</v>
      </c>
      <c r="D18" s="28">
        <v>65</v>
      </c>
      <c r="E18" s="28">
        <v>80</v>
      </c>
      <c r="F18" s="28">
        <v>41.25</v>
      </c>
      <c r="G18" s="36">
        <v>40.76</v>
      </c>
      <c r="H18" s="28"/>
      <c r="I18" s="88"/>
      <c r="J18" s="88"/>
      <c r="K18" s="88"/>
      <c r="L18" s="88"/>
      <c r="M18" s="89"/>
      <c r="N18" s="89"/>
    </row>
    <row r="19" spans="1:14" ht="20.100000000000001" customHeight="1">
      <c r="A19" s="7" t="s">
        <v>16</v>
      </c>
      <c r="B19" s="49" t="s">
        <v>6</v>
      </c>
      <c r="C19" s="49">
        <f>C17/C18</f>
        <v>12961.116650049851</v>
      </c>
      <c r="D19" s="49">
        <f>D17/D18</f>
        <v>19538.461538461539</v>
      </c>
      <c r="E19" s="49">
        <f>E17/E18</f>
        <v>7000</v>
      </c>
      <c r="F19" s="49">
        <f>F17/F18</f>
        <v>16727.272727272728</v>
      </c>
      <c r="G19" s="50">
        <f>G17/G18</f>
        <v>10181.550539744849</v>
      </c>
      <c r="H19" s="49"/>
      <c r="I19" s="89"/>
      <c r="J19" s="89"/>
      <c r="K19" s="89"/>
      <c r="L19" s="89"/>
      <c r="M19" s="90"/>
      <c r="N19" s="90"/>
    </row>
    <row r="20" spans="1:14" ht="3" customHeight="1">
      <c r="A20" s="3"/>
      <c r="B20" s="25"/>
      <c r="C20" s="25"/>
      <c r="D20" s="25"/>
      <c r="E20" s="25"/>
      <c r="F20" s="25"/>
      <c r="G20" s="4"/>
      <c r="H20" s="26"/>
      <c r="I20" s="90"/>
      <c r="J20" s="90"/>
      <c r="K20" s="90"/>
      <c r="L20" s="90"/>
      <c r="M20" s="90"/>
      <c r="N20" s="90"/>
    </row>
    <row r="21" spans="1:14" ht="20.100000000000001" customHeight="1">
      <c r="A21" s="7" t="s">
        <v>28</v>
      </c>
      <c r="B21" s="26" t="s">
        <v>13</v>
      </c>
      <c r="C21" s="26" t="s">
        <v>13</v>
      </c>
      <c r="D21" s="26" t="s">
        <v>13</v>
      </c>
      <c r="E21" s="26" t="s">
        <v>13</v>
      </c>
      <c r="F21" s="26" t="s">
        <v>13</v>
      </c>
      <c r="G21" s="16" t="s">
        <v>13</v>
      </c>
      <c r="H21" s="26"/>
      <c r="I21" s="90"/>
      <c r="J21" s="90"/>
      <c r="K21" s="90"/>
      <c r="L21" s="90"/>
      <c r="M21" s="90"/>
      <c r="N21" s="90"/>
    </row>
    <row r="22" spans="1:14" ht="20.100000000000001" customHeight="1">
      <c r="A22" s="7" t="s">
        <v>2</v>
      </c>
      <c r="B22" s="26" t="s">
        <v>9</v>
      </c>
      <c r="C22" s="26" t="s">
        <v>9</v>
      </c>
      <c r="D22" s="26" t="s">
        <v>9</v>
      </c>
      <c r="E22" s="26" t="s">
        <v>9</v>
      </c>
      <c r="F22" s="26" t="s">
        <v>9</v>
      </c>
      <c r="G22" s="16" t="s">
        <v>9</v>
      </c>
      <c r="H22" s="26"/>
      <c r="I22" s="90"/>
      <c r="J22" s="90"/>
      <c r="K22" s="90"/>
      <c r="L22" s="90"/>
      <c r="M22" s="90"/>
      <c r="N22" s="90"/>
    </row>
    <row r="23" spans="1:14" ht="20.100000000000001" customHeight="1">
      <c r="A23" s="7" t="s">
        <v>3</v>
      </c>
      <c r="B23" s="26" t="s">
        <v>7</v>
      </c>
      <c r="C23" s="26" t="s">
        <v>7</v>
      </c>
      <c r="D23" s="26" t="s">
        <v>7</v>
      </c>
      <c r="E23" s="26" t="s">
        <v>7</v>
      </c>
      <c r="F23" s="26" t="s">
        <v>7</v>
      </c>
      <c r="G23" s="16" t="s">
        <v>7</v>
      </c>
      <c r="H23" s="26"/>
      <c r="I23" s="90"/>
      <c r="J23" s="90"/>
      <c r="K23" s="90"/>
      <c r="L23" s="90"/>
      <c r="M23" s="85"/>
      <c r="N23" s="85"/>
    </row>
    <row r="24" spans="1:14" ht="20.100000000000001" hidden="1" customHeight="1">
      <c r="A24" s="7" t="s">
        <v>34</v>
      </c>
      <c r="B24" s="12" t="s">
        <v>31</v>
      </c>
      <c r="C24" s="12" t="s">
        <v>31</v>
      </c>
      <c r="D24" s="12" t="s">
        <v>31</v>
      </c>
      <c r="E24" s="12" t="s">
        <v>31</v>
      </c>
      <c r="F24" s="12" t="s">
        <v>31</v>
      </c>
      <c r="G24" s="13" t="s">
        <v>31</v>
      </c>
      <c r="H24" s="12"/>
      <c r="I24" s="85"/>
      <c r="J24" s="85"/>
      <c r="K24" s="85"/>
      <c r="L24" s="85"/>
      <c r="M24" s="85"/>
      <c r="N24" s="85"/>
    </row>
    <row r="25" spans="1:14" ht="20.100000000000001" customHeight="1">
      <c r="A25" s="7" t="s">
        <v>30</v>
      </c>
      <c r="B25" s="26" t="s">
        <v>8</v>
      </c>
      <c r="C25" s="12" t="s">
        <v>10</v>
      </c>
      <c r="D25" s="12" t="s">
        <v>10</v>
      </c>
      <c r="E25" s="12" t="s">
        <v>23</v>
      </c>
      <c r="F25" s="12" t="s">
        <v>23</v>
      </c>
      <c r="G25" s="13" t="s">
        <v>23</v>
      </c>
      <c r="H25" s="12"/>
      <c r="I25" s="85"/>
      <c r="J25" s="85"/>
      <c r="K25" s="85"/>
      <c r="L25" s="85"/>
      <c r="M25" s="91"/>
      <c r="N25" s="91"/>
    </row>
    <row r="26" spans="1:14" ht="20.100000000000001" customHeight="1">
      <c r="A26" s="17" t="s">
        <v>25</v>
      </c>
      <c r="B26" s="12" t="s">
        <v>24</v>
      </c>
      <c r="C26" s="27" t="s">
        <v>24</v>
      </c>
      <c r="D26" s="27" t="s">
        <v>24</v>
      </c>
      <c r="E26" s="27">
        <v>2.5000000000000001E-2</v>
      </c>
      <c r="F26" s="27">
        <v>0.05</v>
      </c>
      <c r="G26" s="18">
        <v>7.4999999999999997E-2</v>
      </c>
      <c r="H26" s="27"/>
      <c r="I26" s="91"/>
      <c r="J26" s="91"/>
      <c r="K26" s="91"/>
      <c r="L26" s="91"/>
      <c r="M26" s="92"/>
      <c r="N26" s="92"/>
    </row>
    <row r="27" spans="1:14" ht="20.100000000000001" customHeight="1">
      <c r="A27" s="7" t="s">
        <v>20</v>
      </c>
      <c r="B27" s="69" t="s">
        <v>6</v>
      </c>
      <c r="C27" s="45">
        <f t="shared" ref="C27" si="0">C19</f>
        <v>12961.116650049851</v>
      </c>
      <c r="D27" s="45">
        <f>D19</f>
        <v>19538.461538461539</v>
      </c>
      <c r="E27" s="45">
        <f>E19*1.025</f>
        <v>7174.9999999999991</v>
      </c>
      <c r="F27" s="45">
        <f>F19*1.05</f>
        <v>17563.636363636364</v>
      </c>
      <c r="G27" s="46">
        <f>G19*1.075</f>
        <v>10945.166830225711</v>
      </c>
      <c r="H27" s="45"/>
      <c r="I27" s="92"/>
      <c r="J27" s="92"/>
      <c r="K27" s="92"/>
      <c r="L27" s="92"/>
      <c r="M27" s="93"/>
      <c r="N27" s="93"/>
    </row>
    <row r="28" spans="1:14" ht="3" customHeight="1">
      <c r="A28" s="5"/>
      <c r="B28" s="25"/>
      <c r="C28" s="47"/>
      <c r="D28" s="47"/>
      <c r="E28" s="47"/>
      <c r="F28" s="47"/>
      <c r="G28" s="48"/>
      <c r="H28" s="54"/>
      <c r="I28" s="93"/>
      <c r="J28" s="93"/>
      <c r="K28" s="93"/>
      <c r="L28" s="93"/>
      <c r="M28" s="85"/>
      <c r="N28" s="85"/>
    </row>
    <row r="29" spans="1:14" ht="20.100000000000001" customHeight="1">
      <c r="A29" s="7" t="s">
        <v>11</v>
      </c>
      <c r="B29" s="26" t="s">
        <v>22</v>
      </c>
      <c r="C29" s="12" t="s">
        <v>24</v>
      </c>
      <c r="D29" s="12" t="s">
        <v>19</v>
      </c>
      <c r="E29" s="12" t="s">
        <v>24</v>
      </c>
      <c r="F29" s="12" t="s">
        <v>24</v>
      </c>
      <c r="G29" s="13" t="s">
        <v>23</v>
      </c>
      <c r="H29" s="12"/>
      <c r="I29" s="85"/>
      <c r="J29" s="85"/>
      <c r="K29" s="85"/>
      <c r="L29" s="85"/>
      <c r="M29" s="85"/>
      <c r="N29" s="85"/>
    </row>
    <row r="30" spans="1:14" ht="20.100000000000001" customHeight="1">
      <c r="A30" s="7" t="s">
        <v>76</v>
      </c>
      <c r="B30" s="12" t="s">
        <v>44</v>
      </c>
      <c r="C30" s="12" t="s">
        <v>23</v>
      </c>
      <c r="D30" s="12" t="s">
        <v>23</v>
      </c>
      <c r="E30" s="12" t="s">
        <v>23</v>
      </c>
      <c r="F30" s="12" t="s">
        <v>24</v>
      </c>
      <c r="G30" s="13" t="s">
        <v>23</v>
      </c>
      <c r="H30" s="12"/>
      <c r="I30" s="85"/>
      <c r="J30" s="85"/>
      <c r="K30" s="85"/>
      <c r="L30" s="85"/>
      <c r="M30" s="85"/>
      <c r="N30" s="85"/>
    </row>
    <row r="31" spans="1:14" ht="20.100000000000001" customHeight="1">
      <c r="A31" s="7" t="s">
        <v>14</v>
      </c>
      <c r="B31" s="12" t="str">
        <f>B12</f>
        <v>Well/Elec.</v>
      </c>
      <c r="C31" s="12" t="s">
        <v>23</v>
      </c>
      <c r="D31" s="12" t="s">
        <v>19</v>
      </c>
      <c r="E31" s="12" t="s">
        <v>23</v>
      </c>
      <c r="F31" s="12" t="s">
        <v>23</v>
      </c>
      <c r="G31" s="13" t="s">
        <v>23</v>
      </c>
      <c r="H31" s="12"/>
      <c r="I31" s="85"/>
      <c r="J31" s="85"/>
      <c r="K31" s="85"/>
      <c r="L31" s="85"/>
      <c r="M31" s="85"/>
      <c r="N31" s="85"/>
    </row>
    <row r="32" spans="1:14" ht="20.100000000000001" customHeight="1">
      <c r="A32" s="7" t="s">
        <v>62</v>
      </c>
      <c r="B32" s="12" t="str">
        <f>B14</f>
        <v>Level/Slightly Sloped</v>
      </c>
      <c r="C32" s="12" t="s">
        <v>23</v>
      </c>
      <c r="D32" s="12" t="s">
        <v>24</v>
      </c>
      <c r="E32" s="12" t="s">
        <v>24</v>
      </c>
      <c r="F32" s="12" t="s">
        <v>19</v>
      </c>
      <c r="G32" s="13" t="s">
        <v>24</v>
      </c>
      <c r="H32" s="12"/>
      <c r="I32" s="85"/>
      <c r="J32" s="85"/>
      <c r="K32" s="85"/>
      <c r="L32" s="85"/>
      <c r="M32" s="94"/>
      <c r="N32" s="94"/>
    </row>
    <row r="33" spans="1:14" ht="20.100000000000001" customHeight="1">
      <c r="A33" s="7" t="s">
        <v>29</v>
      </c>
      <c r="B33" s="70">
        <f>B18</f>
        <v>68.564999999999998</v>
      </c>
      <c r="C33" s="30" t="s">
        <v>24</v>
      </c>
      <c r="D33" s="30" t="s">
        <v>24</v>
      </c>
      <c r="E33" s="30" t="s">
        <v>23</v>
      </c>
      <c r="F33" s="30" t="s">
        <v>19</v>
      </c>
      <c r="G33" s="39" t="s">
        <v>19</v>
      </c>
      <c r="H33" s="30"/>
      <c r="I33" s="94"/>
      <c r="J33" s="94"/>
      <c r="K33" s="94"/>
      <c r="L33" s="94"/>
      <c r="M33" s="95"/>
      <c r="N33" s="95"/>
    </row>
    <row r="34" spans="1:14" ht="20.100000000000001" customHeight="1">
      <c r="A34" s="7" t="s">
        <v>15</v>
      </c>
      <c r="B34" s="31" t="str">
        <f>B15</f>
        <v>None</v>
      </c>
      <c r="C34" s="31" t="s">
        <v>24</v>
      </c>
      <c r="D34" s="31" t="s">
        <v>24</v>
      </c>
      <c r="E34" s="31" t="s">
        <v>24</v>
      </c>
      <c r="F34" s="31" t="s">
        <v>24</v>
      </c>
      <c r="G34" s="40" t="s">
        <v>23</v>
      </c>
      <c r="H34" s="31"/>
      <c r="I34" s="95"/>
      <c r="J34" s="95"/>
      <c r="K34" s="95"/>
      <c r="L34" s="95"/>
      <c r="M34" s="85"/>
      <c r="N34" s="85"/>
    </row>
    <row r="35" spans="1:14" ht="3" customHeight="1">
      <c r="A35" s="5"/>
      <c r="B35" s="25"/>
      <c r="C35" s="44"/>
      <c r="D35" s="44"/>
      <c r="E35" s="44"/>
      <c r="F35" s="44"/>
      <c r="G35" s="42"/>
      <c r="H35" s="12"/>
      <c r="I35" s="85"/>
      <c r="J35" s="85"/>
      <c r="K35" s="85"/>
      <c r="L35" s="85"/>
      <c r="M35" s="96"/>
      <c r="N35" s="96"/>
    </row>
    <row r="36" spans="1:14" ht="30" customHeight="1">
      <c r="A36" s="19" t="s">
        <v>77</v>
      </c>
      <c r="B36" s="20" t="s">
        <v>6</v>
      </c>
      <c r="C36" s="21" t="s">
        <v>23</v>
      </c>
      <c r="D36" s="21" t="s">
        <v>19</v>
      </c>
      <c r="E36" s="21" t="s">
        <v>23</v>
      </c>
      <c r="F36" s="21" t="s">
        <v>19</v>
      </c>
      <c r="G36" s="41" t="s">
        <v>23</v>
      </c>
      <c r="H36" s="55"/>
      <c r="I36" s="96"/>
      <c r="J36" s="96"/>
      <c r="K36" s="96"/>
      <c r="L36" s="96"/>
      <c r="M36" s="97"/>
      <c r="N36" s="98"/>
    </row>
    <row r="37" spans="1:14">
      <c r="A37" s="12"/>
      <c r="B37" s="51"/>
      <c r="C37" s="71"/>
      <c r="D37" s="38"/>
      <c r="E37" s="38"/>
      <c r="F37" s="38"/>
      <c r="G37" s="72"/>
      <c r="H37" s="38"/>
      <c r="I37" s="97"/>
      <c r="J37" s="97"/>
      <c r="K37" s="97"/>
      <c r="L37" s="97"/>
      <c r="M37" s="83"/>
      <c r="N37" s="83"/>
    </row>
    <row r="38" spans="1:14">
      <c r="A38" s="12"/>
      <c r="B38" s="12"/>
      <c r="C38" s="10"/>
      <c r="D38" s="66"/>
      <c r="E38" s="38"/>
      <c r="F38" s="10"/>
      <c r="G38" s="60"/>
      <c r="H38" s="10"/>
      <c r="I38" s="83"/>
      <c r="J38" s="83"/>
      <c r="K38" s="83"/>
      <c r="L38" s="83"/>
      <c r="M38" s="85"/>
      <c r="N38" s="85"/>
    </row>
    <row r="39" spans="1:14">
      <c r="A39" s="12"/>
      <c r="B39" s="22"/>
      <c r="C39" s="12"/>
      <c r="D39" s="67"/>
      <c r="E39" s="12"/>
      <c r="F39" s="12"/>
      <c r="G39" s="64"/>
      <c r="H39" s="12"/>
      <c r="I39" s="85"/>
      <c r="J39" s="85"/>
      <c r="K39" s="85"/>
      <c r="L39" s="85"/>
    </row>
    <row r="40" spans="1:14">
      <c r="A40" s="12"/>
      <c r="B40" s="22"/>
      <c r="D40" s="61"/>
      <c r="E40" s="10"/>
      <c r="F40" s="10"/>
      <c r="G40" s="60"/>
    </row>
    <row r="41" spans="1:14">
      <c r="A41" s="24"/>
      <c r="B41" s="24"/>
      <c r="C41" s="52"/>
      <c r="D41" s="61"/>
      <c r="E41" s="10"/>
      <c r="F41" s="10"/>
      <c r="G41" s="65"/>
    </row>
    <row r="42" spans="1:14">
      <c r="C42" s="52"/>
      <c r="D42" s="62"/>
      <c r="E42" s="10"/>
      <c r="F42" s="10"/>
      <c r="G42" s="65"/>
      <c r="H42" s="12"/>
      <c r="I42" s="85"/>
      <c r="J42" s="85"/>
      <c r="K42" s="85"/>
    </row>
    <row r="43" spans="1:14">
      <c r="D43" s="63"/>
      <c r="E43" s="10"/>
      <c r="G43" s="65"/>
    </row>
    <row r="44" spans="1:14">
      <c r="D44" s="61"/>
      <c r="E44" s="10"/>
      <c r="G44" s="60"/>
    </row>
    <row r="45" spans="1:14">
      <c r="D45" s="58"/>
      <c r="G45" s="60"/>
    </row>
    <row r="46" spans="1:14">
      <c r="C46" s="12"/>
      <c r="D46" s="59"/>
      <c r="G46" s="60"/>
      <c r="L46" s="99"/>
    </row>
    <row r="47" spans="1:14">
      <c r="C47" s="37"/>
      <c r="L47" s="99"/>
    </row>
    <row r="48" spans="1:14">
      <c r="C48" s="37"/>
      <c r="L48" s="99"/>
    </row>
    <row r="49" spans="3:12">
      <c r="C49" s="37"/>
      <c r="L49" s="99"/>
    </row>
    <row r="50" spans="3:12">
      <c r="C50" s="23"/>
      <c r="L50" s="100"/>
    </row>
  </sheetData>
  <mergeCells count="1">
    <mergeCell ref="A1:G1"/>
  </mergeCells>
  <phoneticPr fontId="7" type="noConversion"/>
  <printOptions gridLines="1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Brenda McNaney</cp:lastModifiedBy>
  <cp:lastPrinted>2017-03-22T16:29:54Z</cp:lastPrinted>
  <dcterms:created xsi:type="dcterms:W3CDTF">2015-11-24T18:27:37Z</dcterms:created>
  <dcterms:modified xsi:type="dcterms:W3CDTF">2024-03-28T20:39:49Z</dcterms:modified>
</cp:coreProperties>
</file>